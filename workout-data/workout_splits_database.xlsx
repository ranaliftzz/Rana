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9.xml.rels" ContentType="application/vnd.openxmlformats-package.relationships+xml"/>
  <Override PartName="/xl/worksheets/_rels/sheet8.xml.rels" ContentType="application/vnd.openxmlformats-package.relationships+xml"/>
  <Override PartName="/xl/worksheets/_rels/sheet7.xml.rels" ContentType="application/vnd.openxmlformats-package.relationships+xml"/>
  <Override PartName="/xl/worksheets/_rels/sheet6.xml.rels" ContentType="application/vnd.openxmlformats-package.relationships+xml"/>
  <Override PartName="/xl/worksheets/_rels/sheet5.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ME" sheetId="1" state="visible" r:id="rId3"/>
    <sheet name="splits_overview" sheetId="2" state="visible" r:id="rId4"/>
    <sheet name="workout_days" sheetId="3" state="visible" r:id="rId5"/>
    <sheet name="exercises_master" sheetId="4" state="visible" r:id="rId6"/>
    <sheet name="exercise_library" sheetId="5" state="visible" r:id="rId7"/>
    <sheet name="weekly_volume_audit" sheetId="6" state="visible" r:id="rId8"/>
    <sheet name="movement_patterns" sheetId="7" state="visible" r:id="rId9"/>
    <sheet name="progression_rules" sheetId="8" state="visible" r:id="rId10"/>
    <sheet name="rpe_reference" sheetId="9" state="visible" r:id="rId11"/>
  </sheets>
  <definedNames>
    <definedName function="false" hidden="true" localSheetId="4" name="_xlnm._FilterDatabase" vbProcedure="false">exercise_library!$A$1:$O$57</definedName>
    <definedName function="false" hidden="true" localSheetId="3" name="_xlnm._FilterDatabase" vbProcedure="false">exercises_master!$A$1:$V$194</definedName>
    <definedName function="false" hidden="true" localSheetId="6" name="_xlnm._FilterDatabase" vbProcedure="false">movement_patterns!$A$1:$E$27</definedName>
    <definedName function="false" hidden="true" localSheetId="7" name="_xlnm._FilterDatabase" vbProcedure="false">progression_rules!$A$1:$F$11</definedName>
    <definedName function="false" hidden="true" localSheetId="8" name="_xlnm._FilterDatabase" vbProcedure="false">rpe_reference!$A$1:$D$10</definedName>
    <definedName function="false" hidden="true" localSheetId="1" name="_xlnm._FilterDatabase" vbProcedure="false">splits_overview!$A$1:$K$8</definedName>
    <definedName function="false" hidden="true" localSheetId="5" name="_xlnm._FilterDatabase" vbProcedure="false">weekly_volume_audit!$A$1:$H$78</definedName>
    <definedName function="false" hidden="true" localSheetId="2" name="_xlnm._FilterDatabase" vbProcedure="false">workout_days!$A$1:$H$30</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<sst xmlns="http://schemas.openxmlformats.org/spreadsheetml/2006/main" count="4770" uniqueCount="752">
  <si>
    <t xml:space="preserve">Workout Splits Database</t>
  </si>
  <si>
    <t xml:space="preserve">Seven evidence-based training splits, normalized for direct import into a workout application.</t>
  </si>
  <si>
    <t xml:space="preserve">SHEET</t>
  </si>
  <si>
    <t xml:space="preserve">CONTENTS</t>
  </si>
  <si>
    <t xml:space="preserve">README</t>
  </si>
  <si>
    <t xml:space="preserve">This page. Schema, relationships, and stated assumptions.</t>
  </si>
  <si>
    <t xml:space="preserve">splits_overview</t>
  </si>
  <si>
    <t xml:space="preserve">One row per split. Primary key: split_id. The parent table.</t>
  </si>
  <si>
    <t xml:space="preserve">workout_days</t>
  </si>
  <si>
    <t xml:space="preserve">One row per training day. Primary key: workout_id. Foreign key: split_id.</t>
  </si>
  <si>
    <t xml:space="preserve">exercises_master</t>
  </si>
  <si>
    <t xml:space="preserve">One row per programmed exercise instance. Primary key: exercise_instance_id. Foreign key: workout_id (and split_id, denormalized for query convenience).</t>
  </si>
  <si>
    <t xml:space="preserve">exercise_library</t>
  </si>
  <si>
    <t xml:space="preserve">Deduplicated catalogue of every distinct exercise. Primary key: exercise_key. Use this to build the app's exercise picker and swap UI.</t>
  </si>
  <si>
    <t xml:space="preserve">weekly_volume_audit</t>
  </si>
  <si>
    <t xml:space="preserve">Calculated. Weekly direct set volume per muscle group per split, checked against MEV/MAV landmarks. Live formulas - edits to exercises_master flow through here.</t>
  </si>
  <si>
    <t xml:space="preserve">movement_patterns</t>
  </si>
  <si>
    <t xml:space="preserve">Reference table of the movement patterns used, with plane of motion and programming notes.</t>
  </si>
  <si>
    <t xml:space="preserve">progression_rules</t>
  </si>
  <si>
    <t xml:space="preserve">How to advance load and volume, when to deload, and how to substitute exercises.</t>
  </si>
  <si>
    <t xml:space="preserve">rpe_reference</t>
  </si>
  <si>
    <t xml:space="preserve">RPE-to-reps-in-reserve translation. Needed to interpret the target_rpe column.</t>
  </si>
  <si>
    <t xml:space="preserve">RELATIONSHIPS</t>
  </si>
  <si>
    <t xml:space="preserve">Join path</t>
  </si>
  <si>
    <t xml:space="preserve">splits_overview.split_id  -&gt;  workout_days.split_id  -&gt;  workout_days.workout_id  -&gt;  exercises_master.workout_id</t>
  </si>
  <si>
    <t xml:space="preserve">Exercise catalogue</t>
  </si>
  <si>
    <t xml:space="preserve">exercises_master.exercise_name  -&gt;  exercise_library.exercise_name (many-to-one). exercise_library is the canonical definition; exercises_master rows are prescriptions of it.</t>
  </si>
  <si>
    <t xml:space="preserve">Ordering</t>
  </si>
  <si>
    <t xml:space="preserve">Sort workout_days by day_order within a split, and exercises_master by exercise_order within a workout_id. Neither is guaranteed by row order.</t>
  </si>
  <si>
    <t xml:space="preserve">ASSUMPTIONS AND CONVENTIONS</t>
  </si>
  <si>
    <t xml:space="preserve">working_sets</t>
  </si>
  <si>
    <t xml:space="preserve">Working sets only. Warm-up and ramping sets are excluded everywhere, including the volume audit. See progression_rules PROG_09 for the ramping protocol.</t>
  </si>
  <si>
    <t xml:space="preserve">tempo</t>
  </si>
  <si>
    <t xml:space="preserve">Four digits: eccentric - bottom pause - concentric - top pause, in seconds. '3-1-1-0' means a 3-second lowering, 1-second pause at the bottom, 1-second lift, no pause at the top. Isometric holds are labelled 'Isometric' and prescribed in seconds in rep_range.</t>
  </si>
  <si>
    <t xml:space="preserve">target_rpe</t>
  </si>
  <si>
    <t xml:space="preserve">Rate of perceived exertion on the 6-10 scale, where 10 is momentary muscular failure. Translation table on the rpe_reference sheet.</t>
  </si>
  <si>
    <t xml:space="preserve">rest_seconds</t>
  </si>
  <si>
    <t xml:space="preserve">Rest between working sets of the same exercise. Longer rests are assigned to heavier compound work because incomplete recovery blunts load, not effort.</t>
  </si>
  <si>
    <t xml:space="preserve">rep_range</t>
  </si>
  <si>
    <t xml:space="preserve">Where a range reads '8-10 per leg', that is per limb and working_sets counts a completed set on both limbs as one set.</t>
  </si>
  <si>
    <t xml:space="preserve">alternative_1 / _2</t>
  </si>
  <si>
    <t xml:space="preserve">Matched-pattern substitutes, ordered from closest match to most equipment-flexible. Generally the second alternative needs less specialized equipment than the first.</t>
  </si>
  <si>
    <t xml:space="preserve">muscle_group</t>
  </si>
  <si>
    <t xml:space="preserve">A coarse rollup of target_muscle_primary used for volume accounting. Added to make the audit sheet possible; target_muscle_primary is the precise field.</t>
  </si>
  <si>
    <t xml:space="preserve">split_id in exercises_master</t>
  </si>
  <si>
    <t xml:space="preserve">Denormalized from workout_days on purpose, so volume queries do not require a join. If you edit workout_days.split_id, update it here too.</t>
  </si>
  <si>
    <t xml:space="preserve">Volume landmarks</t>
  </si>
  <si>
    <t xml:space="preserve">MEV and MAV values on the audit sheet are hardcoded population averages adapted from the Renaissance Periodization volume-landmark framework (Israetel et al.), shown in blue. They are a starting point for an individual, not a prescription.</t>
  </si>
  <si>
    <t xml:space="preserve">Indirect volume</t>
  </si>
  <si>
    <t xml:space="preserve">The audit counts direct sets only. Secondary movers - triceps during pressing, biceps during rowing, erectors during hinging - receive real stimulus that the audit does not capture, so arm and erector numbers read low by design.</t>
  </si>
  <si>
    <t xml:space="preserve">Scope</t>
  </si>
  <si>
    <t xml:space="preserve">General population resistance training for healthy adults. Nothing here is medical advice or a rehabilitation protocol. Anyone with a current injury, a relevant medical condition, or who is pregnant should get individual clearance before running any of it.</t>
  </si>
  <si>
    <t xml:space="preserve">HOW TO CHOOSE A SPLIT</t>
  </si>
  <si>
    <t xml:space="preserve">3 days available</t>
  </si>
  <si>
    <t xml:space="preserve">SPLIT_FB. Full body three times a week beats any body-part split at that frequency.</t>
  </si>
  <si>
    <t xml:space="preserve">4 days available</t>
  </si>
  <si>
    <t xml:space="preserve">SPLIT_UL as the default. SPLIT_ANTPOST if lower-back fatigue is the limiter, SPLIT_AESTHETIC if the goal is appearance over performance.</t>
  </si>
  <si>
    <t xml:space="preserve">5 days available</t>
  </si>
  <si>
    <t xml:space="preserve">SPLIT_HYBRID. Keeps PPL's structure while restoring twice-weekly frequency.</t>
  </si>
  <si>
    <t xml:space="preserve">6 days available</t>
  </si>
  <si>
    <t xml:space="preserve">SPLIT_PPL. SPLIT_ARNOLD only with an established base - its per-session volume is the highest here.</t>
  </si>
  <si>
    <t xml:space="preserve">Adherence beats optimization</t>
  </si>
  <si>
    <t xml:space="preserve">Any split run consistently for twelve weeks outperforms a better split run erratically. Pick the one that fits the actual schedule, not the ideal one.</t>
  </si>
  <si>
    <t xml:space="preserve">split_id</t>
  </si>
  <si>
    <t xml:space="preserve">split_name</t>
  </si>
  <si>
    <t xml:space="preserve">experience_level</t>
  </si>
  <si>
    <t xml:space="preserve">days_per_week</t>
  </si>
  <si>
    <t xml:space="preserve">primary_goal</t>
  </si>
  <si>
    <t xml:space="preserve">recommended_schedule</t>
  </si>
  <si>
    <t xml:space="preserve">description</t>
  </si>
  <si>
    <t xml:space="preserve">rotations_per_week</t>
  </si>
  <si>
    <t xml:space="preserve">est_session_minutes</t>
  </si>
  <si>
    <t xml:space="preserve">deload_every_weeks</t>
  </si>
  <si>
    <t xml:space="preserve">best_for</t>
  </si>
  <si>
    <t xml:space="preserve">SPLIT_PPL</t>
  </si>
  <si>
    <t xml:space="preserve">Classic Push/Pull/Legs</t>
  </si>
  <si>
    <t xml:space="preserve">Intermediate</t>
  </si>
  <si>
    <t xml:space="preserve">Hypertrophy</t>
  </si>
  <si>
    <t xml:space="preserve">Push A - Pull A - Legs A - Push B - Pull B - Legs B - Rest</t>
  </si>
  <si>
    <t xml:space="preserve">Organizes training by shared joint action so the triceps and delts are not re-fatigued the day after pressing. The six days are all distinct sessions: A days and B days rotate emphasis, so one rotation covers a full week at twice-weekly frequency per muscle.</t>
  </si>
  <si>
    <t xml:space="preserve">Lifters with 1+ years of consistent training who can reliably get to the gym 5-6 days a week.</t>
  </si>
  <si>
    <t xml:space="preserve">SPLIT_ARNOLD</t>
  </si>
  <si>
    <t xml:space="preserve">Arnold Split (Chest/Back, Shoulders/Arms, Legs)</t>
  </si>
  <si>
    <t xml:space="preserve">Advanced</t>
  </si>
  <si>
    <t xml:space="preserve">Chest+Back - Shoulders+Arms - Legs - Chest+Back - Shoulders+Arms - Legs - Rest</t>
  </si>
  <si>
    <t xml:space="preserve">Pairs antagonist muscle groups in the same session, which allows supersetting and produces a large local pump. High per-session volume makes this the most recovery-demanding split here.</t>
  </si>
  <si>
    <t xml:space="preserve">Advanced lifters with well-established work capacity and time for 80+ minute sessions.</t>
  </si>
  <si>
    <t xml:space="preserve">SPLIT_UL</t>
  </si>
  <si>
    <t xml:space="preserve">Upper / Lower (4-Day)</t>
  </si>
  <si>
    <t xml:space="preserve">Beginner</t>
  </si>
  <si>
    <t xml:space="preserve">Strength</t>
  </si>
  <si>
    <t xml:space="preserve">Upper A - Lower A - Rest - Upper B - Lower B - Rest - Rest</t>
  </si>
  <si>
    <t xml:space="preserve">Trains each half of the body twice weekly, with the A sessions biased toward heavy compound strength work and the B sessions toward higher-rep hypertrophy. The best evidence-supported ratio of results to time invested.</t>
  </si>
  <si>
    <t xml:space="preserve">Almost everyone. The default recommendation for beginners through early-advanced lifters.</t>
  </si>
  <si>
    <t xml:space="preserve">SPLIT_ANTPOST</t>
  </si>
  <si>
    <t xml:space="preserve">Anterior / Posterior Chain</t>
  </si>
  <si>
    <t xml:space="preserve">Anterior A - Posterior A - Rest - Anterior B - Posterior B - Rest - Rest</t>
  </si>
  <si>
    <t xml:space="preserve">Divides the body by chain rather than by push/pull: quads, chest and front delts on anterior days, hamstrings, glutes, back and rear delts on posterior days. Concentrates hinge and pull fatigue into the same sessions, which protects the lower back.</t>
  </si>
  <si>
    <t xml:space="preserve">Athletes and lifters who want structural balance, and anyone whose lower back gets beaten up by squatting and deadlifting in one session.</t>
  </si>
  <si>
    <t xml:space="preserve">SPLIT_FB</t>
  </si>
  <si>
    <t xml:space="preserve">Full Body (3-Day)</t>
  </si>
  <si>
    <t xml:space="preserve">General Fitness</t>
  </si>
  <si>
    <t xml:space="preserve">Full Body A - Rest - Full Body B - Rest - Full Body C - Rest - Rest</t>
  </si>
  <si>
    <t xml:space="preserve">Every major movement pattern in every session, at three sessions per week. Highest frequency per muscle and the most forgiving structure if a session gets missed.</t>
  </si>
  <si>
    <t xml:space="preserve">Beginners, anyone returning after a layoff, and time-constrained lifters training three days a week.</t>
  </si>
  <si>
    <t xml:space="preserve">SPLIT_HYBRID</t>
  </si>
  <si>
    <t xml:space="preserve">Hybrid PPL + Upper/Lower (5-Day)</t>
  </si>
  <si>
    <t xml:space="preserve">Push - Pull - Legs - Rest - Upper - Lower - Rest</t>
  </si>
  <si>
    <t xml:space="preserve">Front-loads the week with a full push/pull/legs rotation, then adds an upper and a lower session to push each muscle group back toward twice-weekly frequency. Solves the main weakness of a 3-day PPL without demanding six training days.</t>
  </si>
  <si>
    <t xml:space="preserve">Lifters who can train five days a week and want PPL's structure with better weekly frequency.</t>
  </si>
  <si>
    <t xml:space="preserve">SPLIT_AESTHETIC</t>
  </si>
  <si>
    <t xml:space="preserve">Aesthetics Split (Push / Pull / Legs / Shoulders+Back)</t>
  </si>
  <si>
    <t xml:space="preserve">Push - Pull - Legs - Rest - Shoulders+Back - Rest - Rest</t>
  </si>
  <si>
    <t xml:space="preserve">A four-day rotation with a dedicated fourth day for side delts, rear delts and lat width. Deliberately biased toward the muscles that create shoulder-to-waist taper rather than toward balanced whole-body development.</t>
  </si>
  <si>
    <t xml:space="preserve">Lifters training for appearance rather than performance, who already have a base of general strength.</t>
  </si>
  <si>
    <t xml:space="preserve">workout_id</t>
  </si>
  <si>
    <t xml:space="preserve">day_name</t>
  </si>
  <si>
    <t xml:space="preserve">day_order</t>
  </si>
  <si>
    <t xml:space="preserve">warmup_notes</t>
  </si>
  <si>
    <t xml:space="preserve">session_focus</t>
  </si>
  <si>
    <t xml:space="preserve">optional_finisher</t>
  </si>
  <si>
    <t xml:space="preserve">PPL_PUSH_A</t>
  </si>
  <si>
    <t xml:space="preserve">Push Day A (Chest Focus)</t>
  </si>
  <si>
    <t xml:space="preserve">5 min bike or rower. Band pull-aparts 2x20, shoulder dislocates 2x10, scap push-ups 2x10. Ramp the bench with the empty bar, then 3 ascending sets to your first working load.</t>
  </si>
  <si>
    <t xml:space="preserve">Heavy horizontal pressing</t>
  </si>
  <si>
    <t xml:space="preserve">Cable fly drop set, 1 set of 15-12-10</t>
  </si>
  <si>
    <t xml:space="preserve">PPL_PULL_A</t>
  </si>
  <si>
    <t xml:space="preserve">Pull Day A (Back Thickness)</t>
  </si>
  <si>
    <t xml:space="preserve">5 min rower. Dead hangs 2x20 sec, band pull-aparts 2x20, prone Y-raises 2x12. Two ramping sets on the row before working weight.</t>
  </si>
  <si>
    <t xml:space="preserve">Horizontal pulling and mid-back thickness</t>
  </si>
  <si>
    <t xml:space="preserve">Dead hang for max time, 2 attempts</t>
  </si>
  <si>
    <t xml:space="preserve">PPL_LEGS_A</t>
  </si>
  <si>
    <t xml:space="preserve">Leg Day A (Quad Focus)</t>
  </si>
  <si>
    <t xml:space="preserve">5 min bike. Leg swings 10 per direction, bodyweight squats 2x15, couch stretch 45 sec per side, glute bridges 2x15. Ramp the squat in 3 ascending sets.</t>
  </si>
  <si>
    <t xml:space="preserve">Squat pattern and quadriceps</t>
  </si>
  <si>
    <t xml:space="preserve">Leg extension myo-reps, 1 set</t>
  </si>
  <si>
    <t xml:space="preserve">PPL_PUSH_B</t>
  </si>
  <si>
    <t xml:space="preserve">Push Day B (Shoulder Focus)</t>
  </si>
  <si>
    <t xml:space="preserve">5 min bike. Band pull-aparts 2x20, external rotations 2x15 per side, scap push-ups 2x10. Two ramping sets on the overhead press.</t>
  </si>
  <si>
    <t xml:space="preserve">Vertical pressing and lateral deltoid</t>
  </si>
  <si>
    <t xml:space="preserve">Lateral raise drop set, 1 set of 20-15-15</t>
  </si>
  <si>
    <t xml:space="preserve">PPL_PULL_B</t>
  </si>
  <si>
    <t xml:space="preserve">Pull Day B (Back Width)</t>
  </si>
  <si>
    <t xml:space="preserve">5 min rower. Dead hangs 2x20 sec, band pull-aparts 2x20, cable straight-arm pulldowns 2x15 light as activation.</t>
  </si>
  <si>
    <t xml:space="preserve">Vertical pulling and lat width</t>
  </si>
  <si>
    <t xml:space="preserve">Straight-arm pulldown, 1 set of 25</t>
  </si>
  <si>
    <t xml:space="preserve">PPL_LEGS_B</t>
  </si>
  <si>
    <t xml:space="preserve">Leg Day B (Posterior Chain)</t>
  </si>
  <si>
    <t xml:space="preserve">5 min bike. Hip airplanes 5 per side, glute bridges 2x15, cat-cow 10 reps, light RDL 2x10 with the empty bar before pulling.</t>
  </si>
  <si>
    <t xml:space="preserve">Hip hinge, glutes and hamstrings</t>
  </si>
  <si>
    <t xml:space="preserve">Weighted plank, 3 x 30 sec</t>
  </si>
  <si>
    <t xml:space="preserve">ARNOLD_CHEST_BACK</t>
  </si>
  <si>
    <t xml:space="preserve">Chest + Back</t>
  </si>
  <si>
    <t xml:space="preserve">5 min rower. Band pull-aparts 2x20, scap push-ups 2x10, dead hangs 2x20 sec. Ramp both the bench and the pull-up before the first superset.</t>
  </si>
  <si>
    <t xml:space="preserve">Antagonist supersets, chest and back</t>
  </si>
  <si>
    <t xml:space="preserve">Dumbbell pullover, 1 set of 20</t>
  </si>
  <si>
    <t xml:space="preserve">ARNOLD_SHOULDERS_ARMS</t>
  </si>
  <si>
    <t xml:space="preserve">Shoulders + Arms</t>
  </si>
  <si>
    <t xml:space="preserve">5 min bike. External rotations 2x15 per side, band pull-aparts 2x20, light lateral raises 2x20 as activation.</t>
  </si>
  <si>
    <t xml:space="preserve">Deltoids and direct arm work</t>
  </si>
  <si>
    <t xml:space="preserve">Alternating curl-to-pushdown superset, 2 rounds of 15</t>
  </si>
  <si>
    <t xml:space="preserve">ARNOLD_LEGS</t>
  </si>
  <si>
    <t xml:space="preserve">Legs</t>
  </si>
  <si>
    <t xml:space="preserve">5 min bike. Leg swings 10 per direction, bodyweight squats 2x15, ankle rocks 10 per side, couch stretch 45 sec per side. Squat ramp: bar x10, then 4 ascending sets.</t>
  </si>
  <si>
    <t xml:space="preserve">High-volume lower body</t>
  </si>
  <si>
    <t xml:space="preserve">Leg press drop set, 1 set of 20-15-15</t>
  </si>
  <si>
    <t xml:space="preserve">UL_UPPER_A</t>
  </si>
  <si>
    <t xml:space="preserve">Upper A (Strength Emphasis)</t>
  </si>
  <si>
    <t xml:space="preserve">5 min rower. Band pull-aparts 2x20, scap push-ups 2x10, dead hangs 2x20 sec. Bench ramp: bar x10, then 3 ascending singles-to-triples to working weight.</t>
  </si>
  <si>
    <t xml:space="preserve">Heavy upper body compounds</t>
  </si>
  <si>
    <t xml:space="preserve">UL_LOWER_A</t>
  </si>
  <si>
    <t xml:space="preserve">Lower A (Strength Emphasis)</t>
  </si>
  <si>
    <t xml:space="preserve">5 min bike. Leg swings 10 per direction, bodyweight squats 2x15, glute bridges 2x15. Squat ramp: bar x10, then 3 ascending sets.</t>
  </si>
  <si>
    <t xml:space="preserve">Heavy squat and hinge</t>
  </si>
  <si>
    <t xml:space="preserve">UL_UPPER_B</t>
  </si>
  <si>
    <t xml:space="preserve">Upper B (Hypertrophy Emphasis)</t>
  </si>
  <si>
    <t xml:space="preserve">5 min bike. Band pull-aparts 2x20, external rotations 2x15 per side, light incline press 2x12 as a feeler set.</t>
  </si>
  <si>
    <t xml:space="preserve">Higher-rep upper body volume</t>
  </si>
  <si>
    <t xml:space="preserve">Lateral raise myo-reps, 1 set</t>
  </si>
  <si>
    <t xml:space="preserve">UL_LOWER_B</t>
  </si>
  <si>
    <t xml:space="preserve">Lower B (Hypertrophy Emphasis)</t>
  </si>
  <si>
    <t xml:space="preserve">5 min bike. Glute bridges 2x15, leg swings 10 per direction, light leg curls 2x15 as activation.</t>
  </si>
  <si>
    <t xml:space="preserve">Higher-rep lower body volume, glute bias</t>
  </si>
  <si>
    <t xml:space="preserve">Seated calf raise, 1 set of 25</t>
  </si>
  <si>
    <t xml:space="preserve">AP_ANTERIOR_A</t>
  </si>
  <si>
    <t xml:space="preserve">Anterior Chain A (Quads / Chest / Front Delts)</t>
  </si>
  <si>
    <t xml:space="preserve">5 min bike. Leg swings 10 per direction, bodyweight squats 2x15, band pull-aparts 2x20, scap push-ups 2x10. Ramp both the squat and the bench.</t>
  </si>
  <si>
    <t xml:space="preserve">Front-chain strength</t>
  </si>
  <si>
    <t xml:space="preserve">AP_POSTERIOR_A</t>
  </si>
  <si>
    <t xml:space="preserve">Posterior Chain A (Hams / Glutes / Back)</t>
  </si>
  <si>
    <t xml:space="preserve">5 min rower. Cat-cow 10 reps, glute bridges 2x15, hip airplanes 5 per side, dead hangs 2x20 sec. Deadlift ramp: 4 ascending sets from the empty bar.</t>
  </si>
  <si>
    <t xml:space="preserve">Back-chain strength and pulling</t>
  </si>
  <si>
    <t xml:space="preserve">45-degree back extension, 1 set of 20</t>
  </si>
  <si>
    <t xml:space="preserve">AP_ANTERIOR_B</t>
  </si>
  <si>
    <t xml:space="preserve">Anterior Chain B (Quad Hypertrophy / Upper Push)</t>
  </si>
  <si>
    <t xml:space="preserve">5 min bike. Ankle rocks 10 per side, front rack mobility 2x30 sec, bodyweight squats 2x15, band pull-aparts 2x20.</t>
  </si>
  <si>
    <t xml:space="preserve">Front-chain hypertrophy and unilateral work</t>
  </si>
  <si>
    <t xml:space="preserve">Leg extension drop set, 1 set of 20-15-15</t>
  </si>
  <si>
    <t xml:space="preserve">AP_POSTERIOR_B</t>
  </si>
  <si>
    <t xml:space="preserve">Posterior Chain B (Glute / Hamstring Hypertrophy)</t>
  </si>
  <si>
    <t xml:space="preserve">5 min rower. Glute bridges 2x15, hip airplanes 5 per side, light RDL 2x10 with the empty bar, band pull-aparts 2x20.</t>
  </si>
  <si>
    <t xml:space="preserve">Back-chain hypertrophy, glute bias</t>
  </si>
  <si>
    <t xml:space="preserve">Face pull, 1 set of 30</t>
  </si>
  <si>
    <t xml:space="preserve">FB_DAY_A</t>
  </si>
  <si>
    <t xml:space="preserve">Full Body A (Squat + Press Emphasis)</t>
  </si>
  <si>
    <t xml:space="preserve">5 min bike. Leg swings 10 per direction, bodyweight squats 2x15, band pull-aparts 2x20, scap push-ups 2x10. Ramp both the squat and the bench with 2-3 ascending sets each.</t>
  </si>
  <si>
    <t xml:space="preserve">Squat and horizontal press</t>
  </si>
  <si>
    <t xml:space="preserve">FB_DAY_B</t>
  </si>
  <si>
    <t xml:space="preserve">Full Body B (Hinge + Pull Emphasis)</t>
  </si>
  <si>
    <t xml:space="preserve">5 min rower. Cat-cow 10 reps, glute bridges 2x15, dead hangs 2x20 sec, light trap bar pulls 2x8 before loading.</t>
  </si>
  <si>
    <t xml:space="preserve">Hinge and vertical pull</t>
  </si>
  <si>
    <t xml:space="preserve">FB_DAY_C</t>
  </si>
  <si>
    <t xml:space="preserve">Full Body C (Unilateral + Hypertrophy)</t>
  </si>
  <si>
    <t xml:space="preserve">5 min bike. Hip airplanes 5 per side, couch stretch 45 sec per side, split squat 2x10 bodyweight per leg, band pull-aparts 2x20.</t>
  </si>
  <si>
    <t xml:space="preserve">Unilateral lower body and higher-rep upper</t>
  </si>
  <si>
    <t xml:space="preserve">Hanging leg raise, 1 set to failure</t>
  </si>
  <si>
    <t xml:space="preserve">HYB_PUSH</t>
  </si>
  <si>
    <t xml:space="preserve">Push</t>
  </si>
  <si>
    <t xml:space="preserve">5 min bike. Band pull-aparts 2x20, scap push-ups 2x10, external rotations 2x15 per side. Bench ramp: bar x10, then 3 ascending sets.</t>
  </si>
  <si>
    <t xml:space="preserve">Heavy pressing, chest and delts</t>
  </si>
  <si>
    <t xml:space="preserve">HYB_PULL</t>
  </si>
  <si>
    <t xml:space="preserve">Pull</t>
  </si>
  <si>
    <t xml:space="preserve">5 min rower. Dead hangs 2x20 sec, band pull-aparts 2x20, prone Y-raises 2x12.</t>
  </si>
  <si>
    <t xml:space="preserve">Vertical and horizontal pulling, biceps</t>
  </si>
  <si>
    <t xml:space="preserve">HYB_LEGS</t>
  </si>
  <si>
    <t xml:space="preserve">5 min bike. Leg swings 10 per direction, bodyweight squats 2x15, couch stretch 45 sec per side. Squat ramp: 3 ascending sets.</t>
  </si>
  <si>
    <t xml:space="preserve">Squat-led lower body</t>
  </si>
  <si>
    <t xml:space="preserve">HYB_UPPER</t>
  </si>
  <si>
    <t xml:space="preserve">Upper (Second Exposure)</t>
  </si>
  <si>
    <t xml:space="preserve">5 min rower. Band pull-aparts 2x20, scap push-ups 2x10, light incline press 2x12 as a feeler set.</t>
  </si>
  <si>
    <t xml:space="preserve">Second weekly upper-body exposure, hypertrophy bias</t>
  </si>
  <si>
    <t xml:space="preserve">HYB_LOWER</t>
  </si>
  <si>
    <t xml:space="preserve">Lower (Second Exposure)</t>
  </si>
  <si>
    <t xml:space="preserve">Second weekly lower-body exposure, glute and hamstring bias</t>
  </si>
  <si>
    <t xml:space="preserve">AES_PUSH</t>
  </si>
  <si>
    <t xml:space="preserve">Push (Chest + Triceps)</t>
  </si>
  <si>
    <t xml:space="preserve">5 min bike. Band pull-aparts 2x20, scap push-ups 2x10, light incline press 2x12 as a feeler set.</t>
  </si>
  <si>
    <t xml:space="preserve">Upper chest priority and triceps</t>
  </si>
  <si>
    <t xml:space="preserve">AES_PULL</t>
  </si>
  <si>
    <t xml:space="preserve">Pull (Lats + Biceps)</t>
  </si>
  <si>
    <t xml:space="preserve">5 min rower. Dead hangs 2x20 sec, band pull-aparts 2x20, straight-arm pulldowns 2x15 light as activation.</t>
  </si>
  <si>
    <t xml:space="preserve">Lat width and biceps</t>
  </si>
  <si>
    <t xml:space="preserve">Bayesian cable curl, 1 set of 20</t>
  </si>
  <si>
    <t xml:space="preserve">AES_LEGS</t>
  </si>
  <si>
    <t xml:space="preserve">5 min bike. Leg swings 10 per direction, bodyweight squats 2x15, glute bridges 2x15, ankle rocks 10 per side.</t>
  </si>
  <si>
    <t xml:space="preserve">Machine-led lower body hypertrophy</t>
  </si>
  <si>
    <t xml:space="preserve">AES_SHOULDERS_BACK</t>
  </si>
  <si>
    <t xml:space="preserve">Shoulders + Back (V-Taper Day)</t>
  </si>
  <si>
    <t xml:space="preserve">5 min rower. External rotations 2x15 per side, band pull-aparts 2x20, light lateral raises 2x20, dead hangs 2x20 sec.</t>
  </si>
  <si>
    <t xml:space="preserve">Side delts, rear delts and lat width</t>
  </si>
  <si>
    <t xml:space="preserve">Machine lateral raise myo-reps, 1 set</t>
  </si>
  <si>
    <t xml:space="preserve">exercise_instance_id</t>
  </si>
  <si>
    <t xml:space="preserve">exercise_order</t>
  </si>
  <si>
    <t xml:space="preserve">exercise_name</t>
  </si>
  <si>
    <t xml:space="preserve">target_muscle_primary</t>
  </si>
  <si>
    <t xml:space="preserve">target_muscle_secondary</t>
  </si>
  <si>
    <t xml:space="preserve">equipment</t>
  </si>
  <si>
    <t xml:space="preserve">coaching_cues</t>
  </si>
  <si>
    <t xml:space="preserve">movement_pattern</t>
  </si>
  <si>
    <t xml:space="preserve">is_compound</t>
  </si>
  <si>
    <t xml:space="preserve">is_unilateral</t>
  </si>
  <si>
    <t xml:space="preserve">alternative_1</t>
  </si>
  <si>
    <t xml:space="preserve">alternative_1_equipment</t>
  </si>
  <si>
    <t xml:space="preserve">alternative_2</t>
  </si>
  <si>
    <t xml:space="preserve">alternative_2_equipment</t>
  </si>
  <si>
    <t xml:space="preserve">Barbell Bench Press</t>
  </si>
  <si>
    <t xml:space="preserve">Sternal Pectoralis Major</t>
  </si>
  <si>
    <t xml:space="preserve">Anterior Deltoid; Triceps Brachii</t>
  </si>
  <si>
    <t xml:space="preserve">Barbell</t>
  </si>
  <si>
    <t xml:space="preserve">5-7</t>
  </si>
  <si>
    <t xml:space="preserve">3-1-1-0</t>
  </si>
  <si>
    <t xml:space="preserve">Brace 360 degrees, tuck elbows ~45 deg, touch at nipple line and drive the bar back over the shoulder.</t>
  </si>
  <si>
    <t xml:space="preserve">Horizontal Push</t>
  </si>
  <si>
    <t xml:space="preserve">Chest</t>
  </si>
  <si>
    <t xml:space="preserve">TRUE</t>
  </si>
  <si>
    <t xml:space="preserve">FALSE</t>
  </si>
  <si>
    <t xml:space="preserve">Dumbbell Bench Press</t>
  </si>
  <si>
    <t xml:space="preserve">Dumbbell</t>
  </si>
  <si>
    <t xml:space="preserve">Machine Chest Press</t>
  </si>
  <si>
    <t xml:space="preserve">Machine</t>
  </si>
  <si>
    <t xml:space="preserve">Standing Barbell Overhead Press</t>
  </si>
  <si>
    <t xml:space="preserve">Anterior Deltoid</t>
  </si>
  <si>
    <t xml:space="preserve">Lateral Deltoid; Triceps Brachii</t>
  </si>
  <si>
    <t xml:space="preserve">6-8</t>
  </si>
  <si>
    <t xml:space="preserve">2-0-1-0</t>
  </si>
  <si>
    <t xml:space="preserve">Squeeze the glutes to lock the ribcage down; finish with the head through the window.</t>
  </si>
  <si>
    <t xml:space="preserve">Vertical Push</t>
  </si>
  <si>
    <t xml:space="preserve">Shoulders</t>
  </si>
  <si>
    <t xml:space="preserve">Seated Dumbbell Shoulder Press</t>
  </si>
  <si>
    <t xml:space="preserve">Machine Shoulder Press</t>
  </si>
  <si>
    <t xml:space="preserve">Incline Dumbbell Press</t>
  </si>
  <si>
    <t xml:space="preserve">Clavicular Pectoralis Major</t>
  </si>
  <si>
    <t xml:space="preserve">8-12</t>
  </si>
  <si>
    <t xml:space="preserve">Lower to ear level for a deep stretch; stop short of locking out to keep tension on the pec.</t>
  </si>
  <si>
    <t xml:space="preserve">Incline Push</t>
  </si>
  <si>
    <t xml:space="preserve">Incline Barbell Bench Press</t>
  </si>
  <si>
    <t xml:space="preserve">Incline Machine Press</t>
  </si>
  <si>
    <t xml:space="preserve">Cable Lateral Raise</t>
  </si>
  <si>
    <t xml:space="preserve">Lateral Deltoid</t>
  </si>
  <si>
    <t xml:space="preserve">Supraspinatus</t>
  </si>
  <si>
    <t xml:space="preserve">Cable</t>
  </si>
  <si>
    <t xml:space="preserve">12-15</t>
  </si>
  <si>
    <t xml:space="preserve">2-0-1-1</t>
  </si>
  <si>
    <t xml:space="preserve">Cable keeps tension at the bottom where dumbbells lose it — start from behind the hip.</t>
  </si>
  <si>
    <t xml:space="preserve">Shoulder Abduction</t>
  </si>
  <si>
    <t xml:space="preserve">Dumbbell Lateral Raise</t>
  </si>
  <si>
    <t xml:space="preserve">Machine Lateral Raise</t>
  </si>
  <si>
    <t xml:space="preserve">Overhead Cable Triceps Extension</t>
  </si>
  <si>
    <t xml:space="preserve">Triceps Brachii (Long Head)</t>
  </si>
  <si>
    <t xml:space="preserve">Triceps Lateral Head</t>
  </si>
  <si>
    <t xml:space="preserve">10-12</t>
  </si>
  <si>
    <t xml:space="preserve">Elbows pinned and high — the overhead position is what loads the long head, so chase the stretch.</t>
  </si>
  <si>
    <t xml:space="preserve">Elbow Extension (Overhead)</t>
  </si>
  <si>
    <t xml:space="preserve">Triceps</t>
  </si>
  <si>
    <t xml:space="preserve">Dumbbell Overhead Extension</t>
  </si>
  <si>
    <t xml:space="preserve">EZ-Bar Skullcrusher</t>
  </si>
  <si>
    <t xml:space="preserve">Deficit Push-Up</t>
  </si>
  <si>
    <t xml:space="preserve">Triceps Brachii; Serratus Anterior</t>
  </si>
  <si>
    <t xml:space="preserve">Bodyweight</t>
  </si>
  <si>
    <t xml:space="preserve">AMRAP (8-20)</t>
  </si>
  <si>
    <t xml:space="preserve">2-1-1-0</t>
  </si>
  <si>
    <t xml:space="preserve">Finisher — stop two reps shy of true failure, not at it.</t>
  </si>
  <si>
    <t xml:space="preserve">Push-Up</t>
  </si>
  <si>
    <t xml:space="preserve">Barbell Bent-Over Row</t>
  </si>
  <si>
    <t xml:space="preserve">Latissimus Dorsi</t>
  </si>
  <si>
    <t xml:space="preserve">Rhomboids; Posterior Deltoid; Biceps Brachii</t>
  </si>
  <si>
    <t xml:space="preserve">Torso at ~45 deg, pull to the navel, and do not add torso English to finish the rep.</t>
  </si>
  <si>
    <t xml:space="preserve">Horizontal Pull</t>
  </si>
  <si>
    <t xml:space="preserve">Back</t>
  </si>
  <si>
    <t xml:space="preserve">Chest-Supported T-Bar Row</t>
  </si>
  <si>
    <t xml:space="preserve">Single-Arm Dumbbell Row</t>
  </si>
  <si>
    <t xml:space="preserve">Weighted Pull-Up</t>
  </si>
  <si>
    <t xml:space="preserve">Teres Major; Biceps Brachii</t>
  </si>
  <si>
    <t xml:space="preserve">5-8</t>
  </si>
  <si>
    <t xml:space="preserve">3-0-1-0</t>
  </si>
  <si>
    <t xml:space="preserve">Think elbows into the back pockets; reach a full dead hang each rep before pulling.</t>
  </si>
  <si>
    <t xml:space="preserve">Vertical Pull</t>
  </si>
  <si>
    <t xml:space="preserve">Lat Pulldown</t>
  </si>
  <si>
    <t xml:space="preserve">Assisted Pull-Up</t>
  </si>
  <si>
    <t xml:space="preserve">Seated Cable Row (Neutral Grip)</t>
  </si>
  <si>
    <t xml:space="preserve">Mid-Trapezius</t>
  </si>
  <si>
    <t xml:space="preserve">Rhomboids; Latissimus Dorsi</t>
  </si>
  <si>
    <t xml:space="preserve">Allow scapular protraction on the stretch, then retract — do not lock the torso rigid.</t>
  </si>
  <si>
    <t xml:space="preserve">Cable Face Pull</t>
  </si>
  <si>
    <t xml:space="preserve">Posterior Deltoid</t>
  </si>
  <si>
    <t xml:space="preserve">External Rotators; Mid-Trapezius</t>
  </si>
  <si>
    <t xml:space="preserve">15-20</t>
  </si>
  <si>
    <t xml:space="preserve">Pull to the forehead and externally rotate so the thumbs finish pointing behind you.</t>
  </si>
  <si>
    <t xml:space="preserve">Horizontal Abduction</t>
  </si>
  <si>
    <t xml:space="preserve">Reverse Pec Deck</t>
  </si>
  <si>
    <t xml:space="preserve">Band Pull-Apart</t>
  </si>
  <si>
    <t xml:space="preserve">Straight-Arm Cable Pulldown</t>
  </si>
  <si>
    <t xml:space="preserve">Long Head Triceps; Teres Major</t>
  </si>
  <si>
    <t xml:space="preserve">Hinge slightly and keep the elbows locked — push the bar down and back toward the hips.</t>
  </si>
  <si>
    <t xml:space="preserve">Shoulder Extension</t>
  </si>
  <si>
    <t xml:space="preserve">Dumbbell Pullover</t>
  </si>
  <si>
    <t xml:space="preserve">Cable Lat Prayer</t>
  </si>
  <si>
    <t xml:space="preserve">Incline Dumbbell Curl</t>
  </si>
  <si>
    <t xml:space="preserve">Biceps Brachii (Long Head)</t>
  </si>
  <si>
    <t xml:space="preserve">Brachialis</t>
  </si>
  <si>
    <t xml:space="preserve">Shoulders pinned to the pad — if the elbow drifts forward you have lost the stretch position.</t>
  </si>
  <si>
    <t xml:space="preserve">Elbow Flexion (Stretched)</t>
  </si>
  <si>
    <t xml:space="preserve">Biceps</t>
  </si>
  <si>
    <t xml:space="preserve">Bayesian Cable Curl</t>
  </si>
  <si>
    <t xml:space="preserve">EZ-Bar Preacher Curl</t>
  </si>
  <si>
    <t xml:space="preserve">Dumbbell Hammer Curl</t>
  </si>
  <si>
    <t xml:space="preserve">Brachioradialis; Biceps Brachii</t>
  </si>
  <si>
    <t xml:space="preserve">Neutral grip the whole way; brachialis growth pushes the biceps up and adds arm width.</t>
  </si>
  <si>
    <t xml:space="preserve">Elbow Flexion (Neutral)</t>
  </si>
  <si>
    <t xml:space="preserve">Cable Rope Hammer Curl</t>
  </si>
  <si>
    <t xml:space="preserve">Reverse Curl</t>
  </si>
  <si>
    <t xml:space="preserve">Barbell Back Squat</t>
  </si>
  <si>
    <t xml:space="preserve">Quadriceps</t>
  </si>
  <si>
    <t xml:space="preserve">Gluteus Maximus; Adductor Magnus</t>
  </si>
  <si>
    <t xml:space="preserve">Brace 360 deg, knees track over mid-foot, and break at the knees and hips together.</t>
  </si>
  <si>
    <t xml:space="preserve">Squat (Knee Dominant)</t>
  </si>
  <si>
    <t xml:space="preserve">Quads</t>
  </si>
  <si>
    <t xml:space="preserve">Hack Squat</t>
  </si>
  <si>
    <t xml:space="preserve">Goblet Squat</t>
  </si>
  <si>
    <t xml:space="preserve">Romanian Deadlift</t>
  </si>
  <si>
    <t xml:space="preserve">Biceps Femoris (Hamstrings)</t>
  </si>
  <si>
    <t xml:space="preserve">Gluteus Maximus; Erector Spinae</t>
  </si>
  <si>
    <t xml:space="preserve">8-10</t>
  </si>
  <si>
    <t xml:space="preserve">Push the hips back with the bar tracking the thighs; stop the instant the hamstrings cap out.</t>
  </si>
  <si>
    <t xml:space="preserve">Hip Hinge</t>
  </si>
  <si>
    <t xml:space="preserve">Hamstrings</t>
  </si>
  <si>
    <t xml:space="preserve">Dumbbell Romanian Deadlift</t>
  </si>
  <si>
    <t xml:space="preserve">45-Degree Back Extension</t>
  </si>
  <si>
    <t xml:space="preserve">Leg Press</t>
  </si>
  <si>
    <t xml:space="preserve">Gluteus Maximus; Adductors</t>
  </si>
  <si>
    <t xml:space="preserve">Feet mid-platform; stop the descent the instant the lower back starts to round off the pad.</t>
  </si>
  <si>
    <t xml:space="preserve">Machine Hack Squat</t>
  </si>
  <si>
    <t xml:space="preserve">Bulgarian Split Squat</t>
  </si>
  <si>
    <t xml:space="preserve">8-10 per leg</t>
  </si>
  <si>
    <t xml:space="preserve">Front shin vertical and torso upright for quad bias; lean forward to shift it to the glute.</t>
  </si>
  <si>
    <t xml:space="preserve">Lunge (Unilateral)</t>
  </si>
  <si>
    <t xml:space="preserve">Walking Lunge</t>
  </si>
  <si>
    <t xml:space="preserve">Step-Up</t>
  </si>
  <si>
    <t xml:space="preserve">Seated Leg Curl</t>
  </si>
  <si>
    <t xml:space="preserve">Gastrocnemius; Popliteus</t>
  </si>
  <si>
    <t xml:space="preserve">Hip flexion pre-stretches the long head — this is the highest-return hamstring isolation.</t>
  </si>
  <si>
    <t xml:space="preserve">Knee Flexion</t>
  </si>
  <si>
    <t xml:space="preserve">Lying Leg Curl</t>
  </si>
  <si>
    <t xml:space="preserve">Nordic Hamstring Curl</t>
  </si>
  <si>
    <t xml:space="preserve">Standing Calf Raise</t>
  </si>
  <si>
    <t xml:space="preserve">Gastrocnemius</t>
  </si>
  <si>
    <t xml:space="preserve">Soleus</t>
  </si>
  <si>
    <t xml:space="preserve">2-2-1-0</t>
  </si>
  <si>
    <t xml:space="preserve">Two-second pause in the bottom stretch; knee stays straight to keep the gastroc loaded.</t>
  </si>
  <si>
    <t xml:space="preserve">Ankle Plantarflexion</t>
  </si>
  <si>
    <t xml:space="preserve">Calves</t>
  </si>
  <si>
    <t xml:space="preserve">Smith Machine Calf Raise</t>
  </si>
  <si>
    <t xml:space="preserve">Leg Press Calf Raise</t>
  </si>
  <si>
    <t xml:space="preserve">Set the bench one notch off vertical; bring the dumbbells to ear height, not below.</t>
  </si>
  <si>
    <t xml:space="preserve">Barbell Incline Bench Press</t>
  </si>
  <si>
    <t xml:space="preserve">Set bench to 30 deg — steeper shifts load off the pec and onto the front delt.</t>
  </si>
  <si>
    <t xml:space="preserve">Incline Smith Machine Press</t>
  </si>
  <si>
    <t xml:space="preserve">Weighted Chest Dip</t>
  </si>
  <si>
    <t xml:space="preserve">Costal Pectoralis Major</t>
  </si>
  <si>
    <t xml:space="preserve">Triceps Brachii; Anterior Deltoid</t>
  </si>
  <si>
    <t xml:space="preserve">Lean the torso forward ~30 deg for chest bias; stop when the upper arm breaks parallel.</t>
  </si>
  <si>
    <t xml:space="preserve">Decline Push</t>
  </si>
  <si>
    <t xml:space="preserve">Machine Assisted Dip</t>
  </si>
  <si>
    <t xml:space="preserve">Decline Dumbbell Press</t>
  </si>
  <si>
    <t xml:space="preserve">Pec Deck Fly</t>
  </si>
  <si>
    <t xml:space="preserve">Pectoralis Major</t>
  </si>
  <si>
    <t xml:space="preserve">2-1-1-1</t>
  </si>
  <si>
    <t xml:space="preserve">Drive upper arm toward the midline; pause one second in the stretched position.</t>
  </si>
  <si>
    <t xml:space="preserve">Horizontal Adduction</t>
  </si>
  <si>
    <t xml:space="preserve">Cable Fly</t>
  </si>
  <si>
    <t xml:space="preserve">Dumbbell Fly</t>
  </si>
  <si>
    <t xml:space="preserve">Supraspinatus; Upper Trapezius</t>
  </si>
  <si>
    <t xml:space="preserve">12-20</t>
  </si>
  <si>
    <t xml:space="preserve">Lean away from a rack on the last set to extend the range at the bottom.</t>
  </si>
  <si>
    <t xml:space="preserve">Cable Rope Triceps Pushdown</t>
  </si>
  <si>
    <t xml:space="preserve">Triceps Brachii (Lateral Head)</t>
  </si>
  <si>
    <t xml:space="preserve">Triceps Medial Head</t>
  </si>
  <si>
    <t xml:space="preserve">Upper arm vertical and still; separate the rope at lockout.</t>
  </si>
  <si>
    <t xml:space="preserve">Elbow Extension</t>
  </si>
  <si>
    <t xml:space="preserve">Straight-Bar Pushdown</t>
  </si>
  <si>
    <t xml:space="preserve">Bench Dip</t>
  </si>
  <si>
    <t xml:space="preserve">Lat Pulldown (Wide Pronated)</t>
  </si>
  <si>
    <t xml:space="preserve">Lean back ~15 deg and drive the elbows down and back, not the hands.</t>
  </si>
  <si>
    <t xml:space="preserve">Chest support removes the lower back as a limiter — take it closer to true failure.</t>
  </si>
  <si>
    <t xml:space="preserve">Seated Cable Row</t>
  </si>
  <si>
    <t xml:space="preserve">Chest-Supported Dumbbell Row</t>
  </si>
  <si>
    <t xml:space="preserve">Single-Arm Half-Kneeling Lat Pulldown</t>
  </si>
  <si>
    <t xml:space="preserve">Unilateral work exposes side-to-side gaps — match the weak side's reps on both sides.</t>
  </si>
  <si>
    <t xml:space="preserve">Rhomboids; Mid-Trapezius</t>
  </si>
  <si>
    <t xml:space="preserve">Think of pushing the handles apart with the elbows, not pulling with the hands.</t>
  </si>
  <si>
    <t xml:space="preserve">Dumbbell Rear Delt Fly</t>
  </si>
  <si>
    <t xml:space="preserve">Cable Reverse Fly</t>
  </si>
  <si>
    <t xml:space="preserve">Barbell Shrug</t>
  </si>
  <si>
    <t xml:space="preserve">Upper Trapezius</t>
  </si>
  <si>
    <t xml:space="preserve">Levator Scapulae</t>
  </si>
  <si>
    <t xml:space="preserve">2-0-1-2</t>
  </si>
  <si>
    <t xml:space="preserve">Straight up and down with a one-second hold at the top — rolling the shoulders adds nothing.</t>
  </si>
  <si>
    <t xml:space="preserve">Scapular Elevation</t>
  </si>
  <si>
    <t xml:space="preserve">Traps</t>
  </si>
  <si>
    <t xml:space="preserve">Dumbbell Shrug</t>
  </si>
  <si>
    <t xml:space="preserve">Cable Shrug</t>
  </si>
  <si>
    <t xml:space="preserve">Biceps Brachii (Short Head)</t>
  </si>
  <si>
    <t xml:space="preserve">Do not fully extend into the pad at the bottom under heavy load — protect the elbow.</t>
  </si>
  <si>
    <t xml:space="preserve">Elbow Flexion (Shortened)</t>
  </si>
  <si>
    <t xml:space="preserve">Machine Preacher Curl</t>
  </si>
  <si>
    <t xml:space="preserve">Dumbbell Preacher Curl</t>
  </si>
  <si>
    <t xml:space="preserve">Brachioradialis</t>
  </si>
  <si>
    <t xml:space="preserve">Spread the rope apart at the top to add a hard peak contraction.</t>
  </si>
  <si>
    <t xml:space="preserve">Conventional Deadlift</t>
  </si>
  <si>
    <t xml:space="preserve">Erector Spinae</t>
  </si>
  <si>
    <t xml:space="preserve">Gluteus Maximus; Hamstrings; Latissimus Dorsi</t>
  </si>
  <si>
    <t xml:space="preserve">4-6</t>
  </si>
  <si>
    <t xml:space="preserve">Take the slack out of the bar before you pull; hips and shoulders rise at the same rate.</t>
  </si>
  <si>
    <t xml:space="preserve">Trap Bar Deadlift</t>
  </si>
  <si>
    <t xml:space="preserve">Barbell Hip Thrust</t>
  </si>
  <si>
    <t xml:space="preserve">Gluteus Maximus</t>
  </si>
  <si>
    <t xml:space="preserve">Hamstrings; Adductor Magnus</t>
  </si>
  <si>
    <t xml:space="preserve">Chin tucked and ribs down; hold the top lockout a full second before descending.</t>
  </si>
  <si>
    <t xml:space="preserve">Hip Extension</t>
  </si>
  <si>
    <t xml:space="preserve">Glutes</t>
  </si>
  <si>
    <t xml:space="preserve">Machine Hip Thrust</t>
  </si>
  <si>
    <t xml:space="preserve">Glute Bridge</t>
  </si>
  <si>
    <t xml:space="preserve">Keep the hips pressed down — lifting them shortens the hamstring and steals the rep.</t>
  </si>
  <si>
    <t xml:space="preserve">Leg Extension</t>
  </si>
  <si>
    <t xml:space="preserve">Rectus Femoris</t>
  </si>
  <si>
    <t xml:space="preserve">Vastus Lateralis; Vastus Medialis</t>
  </si>
  <si>
    <t xml:space="preserve">Lean the torso back to stretch the rectus femoris across the hip; pause one second at lockout.</t>
  </si>
  <si>
    <t xml:space="preserve">Knee Extension</t>
  </si>
  <si>
    <t xml:space="preserve">Sissy Squat</t>
  </si>
  <si>
    <t xml:space="preserve">Reverse Nordic Curl</t>
  </si>
  <si>
    <t xml:space="preserve">Hamstrings; Erector Spinae</t>
  </si>
  <si>
    <t xml:space="preserve">Round the upper back slightly and posteriorly tilt the pelvis at the top for glute bias.</t>
  </si>
  <si>
    <t xml:space="preserve">Cable Pull-Through</t>
  </si>
  <si>
    <t xml:space="preserve">Seated Calf Raise</t>
  </si>
  <si>
    <t xml:space="preserve">Bent knee takes the gastroc out — this is the only reliable way to load the soleus.</t>
  </si>
  <si>
    <t xml:space="preserve">Leg Press Calf Raise (Bent Knee)</t>
  </si>
  <si>
    <t xml:space="preserve">Smith Machine Seated Calf Raise</t>
  </si>
  <si>
    <t xml:space="preserve">Hanging Leg Raise</t>
  </si>
  <si>
    <t xml:space="preserve">Rectus Abdominis</t>
  </si>
  <si>
    <t xml:space="preserve">Iliopsoas; Obliques</t>
  </si>
  <si>
    <t xml:space="preserve">10-15</t>
  </si>
  <si>
    <t xml:space="preserve">Posteriorly tilt the pelvis first — if the hips never curl under, this is just a hip flexor drill.</t>
  </si>
  <si>
    <t xml:space="preserve">Trunk Flexion</t>
  </si>
  <si>
    <t xml:space="preserve">Core</t>
  </si>
  <si>
    <t xml:space="preserve">Captain's Chair Knee Raise</t>
  </si>
  <si>
    <t xml:space="preserve">Reverse Crunch</t>
  </si>
  <si>
    <t xml:space="preserve">Superset with the bench press — this antagonist pairing is the heart of the Arnold split.</t>
  </si>
  <si>
    <t xml:space="preserve">Cable Fly (Mid)</t>
  </si>
  <si>
    <t xml:space="preserve">Soft elbow held constant — the movement happens at the shoulder, not the elbow.</t>
  </si>
  <si>
    <t xml:space="preserve">Sternal Pectoralis; Long Head Triceps</t>
  </si>
  <si>
    <t xml:space="preserve">Keep the hips low and think ribcage expansion at the stretch — an Arnold-era staple.</t>
  </si>
  <si>
    <t xml:space="preserve">Machine Pullover</t>
  </si>
  <si>
    <t xml:space="preserve">Arnold Press</t>
  </si>
  <si>
    <t xml:space="preserve">Rotate from neutral to pronated as you press — the rotation is the point, so keep it slow.</t>
  </si>
  <si>
    <t xml:space="preserve">Lead with the elbow, pinky slightly high, and do not let the traps shrug at the top.</t>
  </si>
  <si>
    <t xml:space="preserve">Lower behind the head rather than to the forehead to keep the long head under stretch.</t>
  </si>
  <si>
    <t xml:space="preserve">Barbell Curl</t>
  </si>
  <si>
    <t xml:space="preserve">Biceps Brachii</t>
  </si>
  <si>
    <t xml:space="preserve">Brachialis; Brachioradialis</t>
  </si>
  <si>
    <t xml:space="preserve">Elbows stay at the ribs; stop the bar before the forearms pass vertical to keep tension.</t>
  </si>
  <si>
    <t xml:space="preserve">Elbow Flexion</t>
  </si>
  <si>
    <t xml:space="preserve">EZ-Bar Curl</t>
  </si>
  <si>
    <t xml:space="preserve">Cable Biceps Curl</t>
  </si>
  <si>
    <t xml:space="preserve">Arnold ran high-set squats — if set five degrades badly, cut to four next week.</t>
  </si>
  <si>
    <t xml:space="preserve">Ab Wheel Rollout</t>
  </si>
  <si>
    <t xml:space="preserve">Obliques; Latissimus Dorsi</t>
  </si>
  <si>
    <t xml:space="preserve">Ribs down and glutes squeezed; extend only as far as you can hold the pelvis tucked.</t>
  </si>
  <si>
    <t xml:space="preserve">Anti-Extension</t>
  </si>
  <si>
    <t xml:space="preserve">Weighted Plank</t>
  </si>
  <si>
    <t xml:space="preserve">Cable Crunch</t>
  </si>
  <si>
    <t xml:space="preserve">Feet low on the platform for maximum quad bias; control the descent for a full 3 seconds.</t>
  </si>
  <si>
    <t xml:space="preserve">High-bar position keeps the session quad-dominant, which is the point of an anterior day.</t>
  </si>
  <si>
    <t xml:space="preserve">Gluteus Maximus; Erector Spinae; Hamstrings</t>
  </si>
  <si>
    <t xml:space="preserve">More knee-dominant than conventional and far easier to coach — the best entry-point pull.</t>
  </si>
  <si>
    <t xml:space="preserve">Barbell Front Squat</t>
  </si>
  <si>
    <t xml:space="preserve">Elbows high the entire rep — the moment they drop, the bar rolls and the rep is over.</t>
  </si>
  <si>
    <t xml:space="preserve">Dumbbell Walking Lunge</t>
  </si>
  <si>
    <t xml:space="preserve">Gluteus Maximus; Hamstrings</t>
  </si>
  <si>
    <t xml:space="preserve">10-12 per leg</t>
  </si>
  <si>
    <t xml:space="preserve">Long stride for glutes, short stride for quads — pick one and keep it consistent.</t>
  </si>
  <si>
    <t xml:space="preserve">Reverse Lunge</t>
  </si>
  <si>
    <t xml:space="preserve">Constant tension throughout — ideal as the last biceps movement of a session.</t>
  </si>
  <si>
    <t xml:space="preserve">Dumbbell Curl</t>
  </si>
  <si>
    <t xml:space="preserve">Transverse Abdominis; Obliques</t>
  </si>
  <si>
    <t xml:space="preserve">30-45 sec</t>
  </si>
  <si>
    <t xml:space="preserve">Isometric</t>
  </si>
  <si>
    <t xml:space="preserve">Actively push the floor away and tuck the pelvis — a sagging plank trains nothing.</t>
  </si>
  <si>
    <t xml:space="preserve">Dead Bug</t>
  </si>
  <si>
    <t xml:space="preserve">Trap bar over conventional here — far lower technical cost when you are pulling weekly.</t>
  </si>
  <si>
    <t xml:space="preserve">Let the shoulder blade travel forward at the bottom, then retract — full scapular range.</t>
  </si>
  <si>
    <t xml:space="preserve">Upper chest leads on an aesthetics day — it is the shelf that reads under a shirt.</t>
  </si>
  <si>
    <t xml:space="preserve">Flat Dumbbell Bench Press</t>
  </si>
  <si>
    <t xml:space="preserve">Drive the dumbbells toward each other at the top without letting them touch — keeps the pec loaded.</t>
  </si>
  <si>
    <t xml:space="preserve">High-to-Low Cable Fly</t>
  </si>
  <si>
    <t xml:space="preserve">Finish with the hands crossing below the sternum to bias the lower pec fibers.</t>
  </si>
  <si>
    <t xml:space="preserve">Decline Dumbbell Fly</t>
  </si>
  <si>
    <t xml:space="preserve">Wide grip and a pronounced lean-back — lat width is what builds the taper.</t>
  </si>
  <si>
    <t xml:space="preserve">Myo-rep finisher: one all-out set, rest 15 sec, then 3-5 mini-sets to failure.</t>
  </si>
  <si>
    <t xml:space="preserve">exercise_key</t>
  </si>
  <si>
    <t xml:space="preserve">times_programmed</t>
  </si>
  <si>
    <t xml:space="preserve">bb_row</t>
  </si>
  <si>
    <t xml:space="preserve">cs_db_row</t>
  </si>
  <si>
    <t xml:space="preserve">tbar_row</t>
  </si>
  <si>
    <t xml:space="preserve">db_pullover</t>
  </si>
  <si>
    <t xml:space="preserve">lat_pulldown</t>
  </si>
  <si>
    <t xml:space="preserve">seated_cable_row</t>
  </si>
  <si>
    <t xml:space="preserve">sa_lat_pd</t>
  </si>
  <si>
    <t xml:space="preserve">straight_arm_pd</t>
  </si>
  <si>
    <t xml:space="preserve">weighted_pullup</t>
  </si>
  <si>
    <t xml:space="preserve">bb_curl</t>
  </si>
  <si>
    <t xml:space="preserve">cable_curl</t>
  </si>
  <si>
    <t xml:space="preserve">rope_hammer</t>
  </si>
  <si>
    <t xml:space="preserve">hammer_curl</t>
  </si>
  <si>
    <t xml:space="preserve">preacher_curl</t>
  </si>
  <si>
    <t xml:space="preserve">incline_db_curl</t>
  </si>
  <si>
    <t xml:space="preserve">seated_calf</t>
  </si>
  <si>
    <t xml:space="preserve">standing_calf</t>
  </si>
  <si>
    <t xml:space="preserve">bench</t>
  </si>
  <si>
    <t xml:space="preserve">incline_bb</t>
  </si>
  <si>
    <t xml:space="preserve">cable_fly</t>
  </si>
  <si>
    <t xml:space="preserve">deficit_pushup</t>
  </si>
  <si>
    <t xml:space="preserve">Protract the shoulder blades hard at lockout; stop two reps before form degrades.</t>
  </si>
  <si>
    <t xml:space="preserve">flat_db_press</t>
  </si>
  <si>
    <t xml:space="preserve">high_low_cable_fly</t>
  </si>
  <si>
    <t xml:space="preserve">incline_db</t>
  </si>
  <si>
    <t xml:space="preserve">machine_chest_press</t>
  </si>
  <si>
    <t xml:space="preserve">Set the handles at mid-chest height; let the shoulder blades stay pinned to the pad.</t>
  </si>
  <si>
    <t xml:space="preserve">pec_deck</t>
  </si>
  <si>
    <t xml:space="preserve">weighted_dip</t>
  </si>
  <si>
    <t xml:space="preserve">ab_wheel</t>
  </si>
  <si>
    <t xml:space="preserve">hanging_leg_raise</t>
  </si>
  <si>
    <t xml:space="preserve">plank</t>
  </si>
  <si>
    <t xml:space="preserve">back_extension</t>
  </si>
  <si>
    <t xml:space="preserve">hip_thrust</t>
  </si>
  <si>
    <t xml:space="preserve">deadlift</t>
  </si>
  <si>
    <t xml:space="preserve">lying_leg_curl</t>
  </si>
  <si>
    <t xml:space="preserve">rdl</t>
  </si>
  <si>
    <t xml:space="preserve">seated_leg_curl</t>
  </si>
  <si>
    <t xml:space="preserve">trap_bar_dl</t>
  </si>
  <si>
    <t xml:space="preserve">back_squat</t>
  </si>
  <si>
    <t xml:space="preserve">front_squat</t>
  </si>
  <si>
    <t xml:space="preserve">bulgarian</t>
  </si>
  <si>
    <t xml:space="preserve">walking_lunge</t>
  </si>
  <si>
    <t xml:space="preserve">leg_extension</t>
  </si>
  <si>
    <t xml:space="preserve">leg_press</t>
  </si>
  <si>
    <t xml:space="preserve">hack_squat</t>
  </si>
  <si>
    <t xml:space="preserve">arnold_press</t>
  </si>
  <si>
    <t xml:space="preserve">face_pull</t>
  </si>
  <si>
    <t xml:space="preserve">cable_lat_raise</t>
  </si>
  <si>
    <t xml:space="preserve">db_lat_raise</t>
  </si>
  <si>
    <t xml:space="preserve">machine_lat_raise</t>
  </si>
  <si>
    <t xml:space="preserve">Ideal for myo-reps or drop sets — no stabilization cost when you are past technical failure.</t>
  </si>
  <si>
    <t xml:space="preserve">reverse_pec_deck</t>
  </si>
  <si>
    <t xml:space="preserve">seated_db_press</t>
  </si>
  <si>
    <t xml:space="preserve">ohp_bb</t>
  </si>
  <si>
    <t xml:space="preserve">bb_shrug</t>
  </si>
  <si>
    <t xml:space="preserve">rope_pushdown</t>
  </si>
  <si>
    <t xml:space="preserve">skullcrusher</t>
  </si>
  <si>
    <t xml:space="preserve">oh_tri_cable</t>
  </si>
  <si>
    <t xml:space="preserve">sets_per_rotation</t>
  </si>
  <si>
    <t xml:space="preserve">weekly_direct_sets</t>
  </si>
  <si>
    <t xml:space="preserve">mev_weekly_sets</t>
  </si>
  <si>
    <t xml:space="preserve">mav_weekly_sets</t>
  </si>
  <si>
    <t xml:space="preserve">status</t>
  </si>
  <si>
    <t xml:space="preserve">Direct sets only: an exercise contributes its full working sets to its primary muscle_group and nothing to secondary movers. Real stimulus to secondary movers (e.g. triceps on bench, biceps on rows) is therefore understated by roughly one third to one half.</t>
  </si>
  <si>
    <t xml:space="preserve">MEV / MAV landmarks (blue cells) are hardcoded assumptions adapted from the Renaissance Periodization volume-landmark framework (Israetel et al.). They are population averages, not individual prescriptions - edit them per athlete.</t>
  </si>
  <si>
    <t xml:space="preserve">sets_per_rotation sums one complete pass through the split. weekly_direct_sets multiplies that by rotations_per_week from splits_overview column H.</t>
  </si>
  <si>
    <t xml:space="preserve">plane_of_motion</t>
  </si>
  <si>
    <t xml:space="preserve">muscle_groups_trained</t>
  </si>
  <si>
    <t xml:space="preserve">exercises_in_library</t>
  </si>
  <si>
    <t xml:space="preserve">pattern_notes</t>
  </si>
  <si>
    <t xml:space="preserve">Sagittal</t>
  </si>
  <si>
    <t xml:space="preserve">Gastrocnemius when the knee is straight, soleus when bent. Both are needed.</t>
  </si>
  <si>
    <t xml:space="preserve">Trains the core to resist extension - the more transferable of the two core roles.</t>
  </si>
  <si>
    <t xml:space="preserve">Transverse/Sagittal</t>
  </si>
  <si>
    <t xml:space="preserve">Costal pec emphasis. Dips are the main expression of this pattern.</t>
  </si>
  <si>
    <t xml:space="preserve">Lateral and medial triceps heads at mid-range.</t>
  </si>
  <si>
    <t xml:space="preserve">Long head under stretch. The long head is two thirds of triceps mass.</t>
  </si>
  <si>
    <t xml:space="preserve">General biceps work at a mid-range resistance profile.</t>
  </si>
  <si>
    <t xml:space="preserve">Brachialis and brachioradialis. Adds arm thickness rather than peak.</t>
  </si>
  <si>
    <t xml:space="preserve">Peak-contraction bias. Complements stretched-position work.</t>
  </si>
  <si>
    <t xml:space="preserve">Loads the biceps at long muscle length - the highest-return arm variation.</t>
  </si>
  <si>
    <t xml:space="preserve">Glute-dominant with peak tension in the shortened position.</t>
  </si>
  <si>
    <t xml:space="preserve">Glutes, Hamstrings</t>
  </si>
  <si>
    <t xml:space="preserve">Posterior chain, hamstrings and erectors. Most technically demanding pattern here.</t>
  </si>
  <si>
    <t xml:space="preserve">Transverse</t>
  </si>
  <si>
    <t xml:space="preserve">Rear deltoid and external rotators. Chronically undertrained in most programs.</t>
  </si>
  <si>
    <t xml:space="preserve">Isolation for pec. Highest tension in the stretched position.</t>
  </si>
  <si>
    <t xml:space="preserve">Mid-back thickness. Keep a 1:1 or better ratio against horizontal pushing.</t>
  </si>
  <si>
    <t xml:space="preserve">Primary chest builder. Pairs with Horizontal Pull for balance.</t>
  </si>
  <si>
    <t xml:space="preserve">Biases clavicular pec. 30 degrees is the sweet spot; steeper turns it into a shoulder press.</t>
  </si>
  <si>
    <t xml:space="preserve">Quadriceps isolation, rectus femoris in particular.</t>
  </si>
  <si>
    <t xml:space="preserve">Hamstring isolation. Necessary because hinges alone undertrain the knee-flexion role.</t>
  </si>
  <si>
    <t xml:space="preserve">Single-leg quad and glute work. Exposes and corrects side-to-side asymmetry.</t>
  </si>
  <si>
    <t xml:space="preserve">Frontal</t>
  </si>
  <si>
    <t xml:space="preserve">Upper trap. Already heavily loaded by deadlifts and carries.</t>
  </si>
  <si>
    <t xml:space="preserve">Lateral deltoid. The main lever for shoulder width.</t>
  </si>
  <si>
    <t xml:space="preserve">Lat isolation with the elbow locked. Useful when elbow flexors limit rowing.</t>
  </si>
  <si>
    <t xml:space="preserve">Quad-led, bilateral. Highest systemic fatigue cost of the lower-body patterns.</t>
  </si>
  <si>
    <t xml:space="preserve">Rectus abdominis through spinal flexion.</t>
  </si>
  <si>
    <t xml:space="preserve">Lat width and the V-taper. The single highest-value back pattern.</t>
  </si>
  <si>
    <t xml:space="preserve">Frontal/Sagittal</t>
  </si>
  <si>
    <t xml:space="preserve">Anterior deltoid driver. Needs adequate overhead shoulder mobility first.</t>
  </si>
  <si>
    <t xml:space="preserve">rule_id</t>
  </si>
  <si>
    <t xml:space="preserve">applies_to</t>
  </si>
  <si>
    <t xml:space="preserve">scheme_name</t>
  </si>
  <si>
    <t xml:space="preserve">rule_detail</t>
  </si>
  <si>
    <t xml:space="preserve">trigger_condition</t>
  </si>
  <si>
    <t xml:space="preserve">action</t>
  </si>
  <si>
    <t xml:space="preserve">PROG_01</t>
  </si>
  <si>
    <t xml:space="preserve">All splits</t>
  </si>
  <si>
    <t xml:space="preserve">Double progression</t>
  </si>
  <si>
    <t xml:space="preserve">Work within the prescribed rep range. When every working set hits the top of the range at or below the target RPE, add load next session and expect to drop back to the bottom of the range.</t>
  </si>
  <si>
    <t xml:space="preserve">Top of rep range hit on all sets</t>
  </si>
  <si>
    <t xml:space="preserve">2.5-5 kg on lower-body compounds, 1-2.5 kg on upper-body compounds, smallest available increment on isolation.</t>
  </si>
  <si>
    <t xml:space="preserve">PROG_02</t>
  </si>
  <si>
    <t xml:space="preserve">RPE-autoregulated load selection</t>
  </si>
  <si>
    <t xml:space="preserve">Target RPE is the governing variable, not the number on the bar. If the prescribed load lands 2 points below target RPE, add weight mid-session; if it lands above, strip weight.</t>
  </si>
  <si>
    <t xml:space="preserve">Actual RPE deviates from target by 1.5 or more</t>
  </si>
  <si>
    <t xml:space="preserve">Adjust load 5-10% in the indicated direction.</t>
  </si>
  <si>
    <t xml:space="preserve">PROG_03</t>
  </si>
  <si>
    <t xml:space="preserve">Hypertrophy-goal splits</t>
  </si>
  <si>
    <t xml:space="preserve">Set progression across a mesocycle</t>
  </si>
  <si>
    <t xml:space="preserve">Start a training block at the lower end of each muscle group's set range and add roughly one set per muscle group per week until the weekly_volume_audit approaches MAV.</t>
  </si>
  <si>
    <t xml:space="preserve">Recovery still good and reps not declining week to week</t>
  </si>
  <si>
    <t xml:space="preserve">Add 1 set to the last exercise for that muscle group.</t>
  </si>
  <si>
    <t xml:space="preserve">PROG_04</t>
  </si>
  <si>
    <t xml:space="preserve">Deload protocol</t>
  </si>
  <si>
    <t xml:space="preserve">On the deload week, keep exercise selection and load identical but cut working sets by half and cap every set at RPE 6. Do not train to failure on any set.</t>
  </si>
  <si>
    <t xml:space="preserve">See deload_every_weeks in splits_overview, or earlier if two of the triggers in PROG_05 fire</t>
  </si>
  <si>
    <t xml:space="preserve">50% of normal sets, RPE capped at 6, same loads.</t>
  </si>
  <si>
    <t xml:space="preserve">PROG_05</t>
  </si>
  <si>
    <t xml:space="preserve">Early deload triggers</t>
  </si>
  <si>
    <t xml:space="preserve">Deload ahead of schedule when two or more of these are true for a full week: performance drops on the same load, joints ache before sessions, resting heart rate is elevated, sleep quality has fallen off, or motivation to train has dropped sharply.</t>
  </si>
  <si>
    <t xml:space="preserve">Two or more triggers present for 7 consecutive days</t>
  </si>
  <si>
    <t xml:space="preserve">Run the PROG_04 deload immediately rather than pushing through.</t>
  </si>
  <si>
    <t xml:space="preserve">PROG_06</t>
  </si>
  <si>
    <t xml:space="preserve">Failure proximity by exercise type</t>
  </si>
  <si>
    <t xml:space="preserve">Compounds at the start of a session stay 1-3 reps in reserve to protect technique and recovery. Isolation work at the end can be taken to 0-1 RIR, because the systemic fatigue cost is low.</t>
  </si>
  <si>
    <t xml:space="preserve">Applies every session</t>
  </si>
  <si>
    <t xml:space="preserve">Compounds RPE 7.5-8.5, isolation RPE 9-10.</t>
  </si>
  <si>
    <t xml:space="preserve">PROG_07</t>
  </si>
  <si>
    <t xml:space="preserve">Beginner splits (SPLIT_UL, SPLIT_FB)</t>
  </si>
  <si>
    <t xml:space="preserve">Linear progression first</t>
  </si>
  <si>
    <t xml:space="preserve">Untrained and early-intermediate lifters should add load every session on the main compounds for as long as it keeps working, before switching to double progression.</t>
  </si>
  <si>
    <t xml:space="preserve">A session is missed at the target reps twice in a row</t>
  </si>
  <si>
    <t xml:space="preserve">Switch that exercise to PROG_01 double progression.</t>
  </si>
  <si>
    <t xml:space="preserve">PROG_08</t>
  </si>
  <si>
    <t xml:space="preserve">Exercise rotation</t>
  </si>
  <si>
    <t xml:space="preserve">Rotate any exercise that has stalled for three consecutive sessions to one of its listed alternatives in exercises_master. Keep the movement pattern and rep range identical so the stimulus is preserved.</t>
  </si>
  <si>
    <t xml:space="preserve">Three consecutive stalled sessions on the same movement</t>
  </si>
  <si>
    <t xml:space="preserve">Swap to alternative_1, or alternative_2 if equipment is unavailable.</t>
  </si>
  <si>
    <t xml:space="preserve">PROG_09</t>
  </si>
  <si>
    <t xml:space="preserve">Warm-up ramping for heavy compounds</t>
  </si>
  <si>
    <t xml:space="preserve">Before the first working set of any exercise prescribed below 8 reps, run 3-4 ascending sets of decreasing reps. These are not working sets and do not count toward the volume audit.</t>
  </si>
  <si>
    <t xml:space="preserve">Applies to any exercise with a rep range topping out at 8 or fewer</t>
  </si>
  <si>
    <t xml:space="preserve">Empty bar x10, 50% x5, 70% x3, 85% x1, then the first working set.</t>
  </si>
  <si>
    <t xml:space="preserve">PROG_10</t>
  </si>
  <si>
    <t xml:space="preserve">Substitution for equipment availability</t>
  </si>
  <si>
    <t xml:space="preserve">When a machine or rack is occupied, substitute using the alternative columns rather than skipping or reordering the session. A matched-pattern substitute preserves the training effect; a skipped exercise does not.</t>
  </si>
  <si>
    <t xml:space="preserve">Primary equipment unavailable</t>
  </si>
  <si>
    <t xml:space="preserve">Use alternative_1, then alternative_2. Log the substitution.</t>
  </si>
  <si>
    <t xml:space="preserve">reps_in_reserve</t>
  </si>
  <si>
    <t xml:space="preserve">how_it_should_feel</t>
  </si>
  <si>
    <t xml:space="preserve">typical_use</t>
  </si>
  <si>
    <t xml:space="preserve">0</t>
  </si>
  <si>
    <t xml:space="preserve">No further reps possible. Load could not be increased.</t>
  </si>
  <si>
    <t xml:space="preserve">Isolation work only, and sparingly.</t>
  </si>
  <si>
    <t xml:space="preserve">0-1</t>
  </si>
  <si>
    <t xml:space="preserve">Could not add load; might squeeze one more rep.</t>
  </si>
  <si>
    <t xml:space="preserve">Final set of an isolation exercise.</t>
  </si>
  <si>
    <t xml:space="preserve">1</t>
  </si>
  <si>
    <t xml:space="preserve">One rep left in the tank.</t>
  </si>
  <si>
    <t xml:space="preserve">Isolation and machine work.</t>
  </si>
  <si>
    <t xml:space="preserve">1-2</t>
  </si>
  <si>
    <t xml:space="preserve">One certain, possibly two reps left.</t>
  </si>
  <si>
    <t xml:space="preserve">Secondary compounds, hypertrophy sets.</t>
  </si>
  <si>
    <t xml:space="preserve">2</t>
  </si>
  <si>
    <t xml:space="preserve">Two reps left. Bar speed still crisp.</t>
  </si>
  <si>
    <t xml:space="preserve">Primary heavy compounds. The most-used target in this database.</t>
  </si>
  <si>
    <t xml:space="preserve">2-3</t>
  </si>
  <si>
    <t xml:space="preserve">Comfortably two, maybe three reps left.</t>
  </si>
  <si>
    <t xml:space="preserve">Heavy strength work and the first working set of a compound.</t>
  </si>
  <si>
    <t xml:space="preserve">3</t>
  </si>
  <si>
    <t xml:space="preserve">Three reps left. Deliberately submaximal.</t>
  </si>
  <si>
    <t xml:space="preserve">Technique-focused sets and the back-off sets of a wave.</t>
  </si>
  <si>
    <t xml:space="preserve">4</t>
  </si>
  <si>
    <t xml:space="preserve">Four reps left. Clearly easy.</t>
  </si>
  <si>
    <t xml:space="preserve">Deload weeks and warm-up ramping.</t>
  </si>
  <si>
    <t xml:space="preserve">4+</t>
  </si>
  <si>
    <t xml:space="preserve">Warm-up territory. No meaningful fatigue.</t>
  </si>
  <si>
    <t xml:space="preserve">Deload cap and ramp sets.</t>
  </si>
</sst>
</file>

<file path=xl/styles.xml><?xml version="1.0" encoding="utf-8"?>
<styleSheet xmlns="http://schemas.openxmlformats.org/spreadsheetml/2006/main">
  <numFmts count="1">
    <numFmt numFmtId="164" formatCode="General"/>
  </numFmts>
  <fonts count="10">
    <font>
      <sz val="11"/>
      <color theme="1"/>
      <name val="Calibri"/>
      <family val="2"/>
      <charset val="1"/>
    </font>
    <font>
      <sz val="10"/>
      <name val="Arial"/>
      <family val="0"/>
    </font>
    <font>
      <sz val="10"/>
      <name val="Arial"/>
      <family val="0"/>
    </font>
    <font>
      <sz val="10"/>
      <name val="Arial"/>
      <family val="0"/>
    </font>
    <font>
      <b val="true"/>
      <sz val="14"/>
      <color rgb="FF111827"/>
      <name val="Segoe UI"/>
      <family val="0"/>
      <charset val="1"/>
    </font>
    <font>
      <sz val="10"/>
      <name val="Segoe UI"/>
      <family val="0"/>
      <charset val="1"/>
    </font>
    <font>
      <b val="true"/>
      <sz val="10"/>
      <color rgb="FF111827"/>
      <name val="Segoe UI"/>
      <family val="0"/>
      <charset val="1"/>
    </font>
    <font>
      <b val="true"/>
      <sz val="11"/>
      <color rgb="FFFFFFFF"/>
      <name val="Segoe UI"/>
      <family val="0"/>
      <charset val="1"/>
    </font>
    <font>
      <sz val="10"/>
      <color rgb="FF0000FF"/>
      <name val="Segoe UI"/>
      <family val="0"/>
      <charset val="1"/>
    </font>
    <font>
      <i val="true"/>
      <sz val="9"/>
      <color rgb="FF6B7280"/>
      <name val="Segoe UI"/>
      <family val="0"/>
      <charset val="1"/>
    </font>
  </fonts>
  <fills count="3">
    <fill>
      <patternFill patternType="none"/>
    </fill>
    <fill>
      <patternFill patternType="gray125"/>
    </fill>
    <fill>
      <patternFill patternType="solid">
        <fgColor rgb="FF1F2937"/>
        <bgColor rgb="FF111827"/>
      </patternFill>
    </fill>
  </fills>
  <borders count="2">
    <border diagonalUp="false" diagonalDown="false">
      <left/>
      <right/>
      <top/>
      <bottom/>
      <diagonal/>
    </border>
    <border diagonalUp="false" diagonalDown="false">
      <left/>
      <right/>
      <top/>
      <bottom style="thin">
        <color rgb="FFD1D5DB"/>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2" borderId="0" xfId="0" applyFont="true" applyBorder="false" applyAlignment="true" applyProtection="false">
      <alignment horizontal="general" vertical="top" textRotation="0" wrapText="true" indent="0" shrinkToFit="false"/>
      <protection locked="true" hidden="false"/>
    </xf>
    <xf numFmtId="164" fontId="7" fillId="2" borderId="0" xfId="0" applyFont="true" applyBorder="false" applyAlignment="true" applyProtection="false">
      <alignment horizontal="left" vertical="center" textRotation="0" wrapText="false" indent="0" shrinkToFit="false"/>
      <protection locked="true" hidden="false"/>
    </xf>
    <xf numFmtId="164" fontId="5" fillId="0" borderId="1" xfId="0" applyFont="true" applyBorder="true" applyAlignment="true" applyProtection="false">
      <alignment horizontal="general" vertical="top" textRotation="0" wrapText="fals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8" fillId="0" borderId="1" xfId="0" applyFont="true" applyBorder="true" applyAlignment="true" applyProtection="false">
      <alignment horizontal="general" vertical="top"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4">
    <dxf>
      <fill>
        <patternFill patternType="solid">
          <fgColor rgb="FF1F2937"/>
          <bgColor rgb="FF000000"/>
        </patternFill>
      </fill>
    </dxf>
    <dxf>
      <fill>
        <patternFill patternType="solid">
          <bgColor rgb="FF000000"/>
        </patternFill>
      </fill>
    </dxf>
    <dxf>
      <fill>
        <patternFill patternType="solid">
          <fgColor rgb="FFFFFFFF"/>
          <bgColor rgb="FF000000"/>
        </patternFill>
      </fill>
    </dxf>
    <dxf>
      <fill>
        <patternFill patternType="solid">
          <fgColor rgb="FF0000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F766E"/>
      <rgbColor rgb="FFC0C0C0"/>
      <rgbColor rgb="FF808080"/>
      <rgbColor rgb="FF9999FF"/>
      <rgbColor rgb="FF993366"/>
      <rgbColor rgb="FFFFFFCC"/>
      <rgbColor rgb="FFCCFFFF"/>
      <rgbColor rgb="FF660066"/>
      <rgbColor rgb="FFFF8080"/>
      <rgbColor rgb="FF0066CC"/>
      <rgbColor rgb="FFD1D5DB"/>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B7280"/>
      <rgbColor rgb="FF969696"/>
      <rgbColor rgb="FF003366"/>
      <rgbColor rgb="FF339966"/>
      <rgbColor rgb="FF111827"/>
      <rgbColor rgb="FF333300"/>
      <rgbColor rgb="FFB45309"/>
      <rgbColor rgb="FF993366"/>
      <rgbColor rgb="FF374151"/>
      <rgbColor rgb="FF1F2937"/>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drawings/drawing6.xml><?xml version="1.0" encoding="utf-8"?>
<xdr:wsDr xmlns:xdr="http://schemas.openxmlformats.org/drawingml/2006/spreadsheetDrawing" xmlns:a="http://schemas.openxmlformats.org/drawingml/2006/main" xmlns:r="http://schemas.openxmlformats.org/officeDocument/2006/relationships"/>
</file>

<file path=xl/drawings/drawing7.xml><?xml version="1.0" encoding="utf-8"?>
<xdr:wsDr xmlns:xdr="http://schemas.openxmlformats.org/drawingml/2006/spreadsheetDrawing" xmlns:a="http://schemas.openxmlformats.org/drawingml/2006/main" xmlns:r="http://schemas.openxmlformats.org/officeDocument/2006/relationships"/>
</file>

<file path=xl/drawings/drawing8.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_rels/sheet4.xml.rels><?xml version="1.0" encoding="UTF-8"?>
<Relationships xmlns="http://schemas.openxmlformats.org/package/2006/relationships"><Relationship Id="rId1" Type="http://schemas.openxmlformats.org/officeDocument/2006/relationships/drawing" Target="../drawings/drawing3.xml"/>
</Relationships>
</file>

<file path=xl/worksheets/_rels/sheet5.xml.rels><?xml version="1.0" encoding="UTF-8"?>
<Relationships xmlns="http://schemas.openxmlformats.org/package/2006/relationships"><Relationship Id="rId1" Type="http://schemas.openxmlformats.org/officeDocument/2006/relationships/drawing" Target="../drawings/drawing4.xml"/>
</Relationships>
</file>

<file path=xl/worksheets/_rels/sheet6.xml.rels><?xml version="1.0" encoding="UTF-8"?>
<Relationships xmlns="http://schemas.openxmlformats.org/package/2006/relationships"><Relationship Id="rId1" Type="http://schemas.openxmlformats.org/officeDocument/2006/relationships/drawing" Target="../drawings/drawing5.xml"/>
</Relationships>
</file>

<file path=xl/worksheets/_rels/sheet7.xml.rels><?xml version="1.0" encoding="UTF-8"?>
<Relationships xmlns="http://schemas.openxmlformats.org/package/2006/relationships"><Relationship Id="rId1" Type="http://schemas.openxmlformats.org/officeDocument/2006/relationships/drawing" Target="../drawings/drawing6.xml"/>
</Relationships>
</file>

<file path=xl/worksheets/_rels/sheet8.xml.rels><?xml version="1.0" encoding="UTF-8"?>
<Relationships xmlns="http://schemas.openxmlformats.org/package/2006/relationships"><Relationship Id="rId1" Type="http://schemas.openxmlformats.org/officeDocument/2006/relationships/drawing" Target="../drawings/drawing7.xml"/>
</Relationships>
</file>

<file path=xl/worksheets/_rels/sheet9.xml.rels><?xml version="1.0" encoding="UTF-8"?>
<Relationships xmlns="http://schemas.openxmlformats.org/package/2006/relationships"><Relationship Id="rId1" Type="http://schemas.openxmlformats.org/officeDocument/2006/relationships/drawing" Target="../drawings/drawing8.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11827"/>
    <pageSetUpPr fitToPage="false"/>
  </sheetPr>
  <dimension ref="A1:B38"/>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118"/>
  </cols>
  <sheetData>
    <row r="1" customFormat="false" ht="24" hidden="false" customHeight="true" outlineLevel="0" collapsed="false">
      <c r="A1" s="1" t="s">
        <v>0</v>
      </c>
      <c r="B1" s="2"/>
    </row>
    <row r="2" customFormat="false" ht="15" hidden="false" customHeight="false" outlineLevel="0" collapsed="false">
      <c r="A2" s="3"/>
      <c r="B2" s="2" t="s">
        <v>1</v>
      </c>
    </row>
    <row r="4" customFormat="false" ht="15" hidden="false" customHeight="false" outlineLevel="0" collapsed="false">
      <c r="A4" s="4" t="s">
        <v>2</v>
      </c>
      <c r="B4" s="4" t="s">
        <v>3</v>
      </c>
    </row>
    <row r="5" customFormat="false" ht="30" hidden="false" customHeight="true" outlineLevel="0" collapsed="false">
      <c r="A5" s="3" t="s">
        <v>4</v>
      </c>
      <c r="B5" s="2" t="s">
        <v>5</v>
      </c>
    </row>
    <row r="6" customFormat="false" ht="30" hidden="false" customHeight="true" outlineLevel="0" collapsed="false">
      <c r="A6" s="3" t="s">
        <v>6</v>
      </c>
      <c r="B6" s="2" t="s">
        <v>7</v>
      </c>
    </row>
    <row r="7" customFormat="false" ht="30" hidden="false" customHeight="true" outlineLevel="0" collapsed="false">
      <c r="A7" s="3" t="s">
        <v>8</v>
      </c>
      <c r="B7" s="2" t="s">
        <v>9</v>
      </c>
    </row>
    <row r="8" customFormat="false" ht="30" hidden="false" customHeight="true" outlineLevel="0" collapsed="false">
      <c r="A8" s="3" t="s">
        <v>10</v>
      </c>
      <c r="B8" s="2" t="s">
        <v>11</v>
      </c>
    </row>
    <row r="9" customFormat="false" ht="30" hidden="false" customHeight="true" outlineLevel="0" collapsed="false">
      <c r="A9" s="3" t="s">
        <v>12</v>
      </c>
      <c r="B9" s="2" t="s">
        <v>13</v>
      </c>
    </row>
    <row r="10" customFormat="false" ht="30" hidden="false" customHeight="true" outlineLevel="0" collapsed="false">
      <c r="A10" s="3" t="s">
        <v>14</v>
      </c>
      <c r="B10" s="2" t="s">
        <v>15</v>
      </c>
    </row>
    <row r="11" customFormat="false" ht="30" hidden="false" customHeight="true" outlineLevel="0" collapsed="false">
      <c r="A11" s="3" t="s">
        <v>16</v>
      </c>
      <c r="B11" s="2" t="s">
        <v>17</v>
      </c>
    </row>
    <row r="12" customFormat="false" ht="30" hidden="false" customHeight="true" outlineLevel="0" collapsed="false">
      <c r="A12" s="3" t="s">
        <v>18</v>
      </c>
      <c r="B12" s="2" t="s">
        <v>19</v>
      </c>
    </row>
    <row r="13" customFormat="false" ht="30" hidden="false" customHeight="true" outlineLevel="0" collapsed="false">
      <c r="A13" s="3" t="s">
        <v>20</v>
      </c>
      <c r="B13" s="2" t="s">
        <v>21</v>
      </c>
    </row>
    <row r="15" customFormat="false" ht="15" hidden="false" customHeight="false" outlineLevel="0" collapsed="false">
      <c r="A15" s="4" t="s">
        <v>22</v>
      </c>
      <c r="B15" s="4"/>
    </row>
    <row r="16" customFormat="false" ht="25.5" hidden="false" customHeight="true" outlineLevel="0" collapsed="false">
      <c r="A16" s="3" t="s">
        <v>23</v>
      </c>
      <c r="B16" s="2" t="s">
        <v>24</v>
      </c>
    </row>
    <row r="17" customFormat="false" ht="39.75" hidden="false" customHeight="true" outlineLevel="0" collapsed="false">
      <c r="A17" s="3" t="s">
        <v>25</v>
      </c>
      <c r="B17" s="2" t="s">
        <v>26</v>
      </c>
    </row>
    <row r="18" customFormat="false" ht="33.75" hidden="false" customHeight="true" outlineLevel="0" collapsed="false">
      <c r="A18" s="3" t="s">
        <v>27</v>
      </c>
      <c r="B18" s="2" t="s">
        <v>28</v>
      </c>
    </row>
    <row r="20" customFormat="false" ht="28.35" hidden="false" customHeight="false" outlineLevel="0" collapsed="false">
      <c r="A20" s="4" t="s">
        <v>29</v>
      </c>
      <c r="B20" s="4"/>
    </row>
    <row r="21" customFormat="false" ht="45" hidden="false" customHeight="true" outlineLevel="0" collapsed="false">
      <c r="A21" s="3" t="s">
        <v>30</v>
      </c>
      <c r="B21" s="2" t="s">
        <v>31</v>
      </c>
    </row>
    <row r="22" customFormat="false" ht="60" hidden="false" customHeight="true" outlineLevel="0" collapsed="false">
      <c r="A22" s="3" t="s">
        <v>32</v>
      </c>
      <c r="B22" s="2" t="s">
        <v>33</v>
      </c>
    </row>
    <row r="23" customFormat="false" ht="45" hidden="false" customHeight="true" outlineLevel="0" collapsed="false">
      <c r="A23" s="3" t="s">
        <v>34</v>
      </c>
      <c r="B23" s="2" t="s">
        <v>35</v>
      </c>
    </row>
    <row r="24" customFormat="false" ht="45" hidden="false" customHeight="true" outlineLevel="0" collapsed="false">
      <c r="A24" s="3" t="s">
        <v>36</v>
      </c>
      <c r="B24" s="2" t="s">
        <v>37</v>
      </c>
    </row>
    <row r="25" customFormat="false" ht="45" hidden="false" customHeight="true" outlineLevel="0" collapsed="false">
      <c r="A25" s="3" t="s">
        <v>38</v>
      </c>
      <c r="B25" s="2" t="s">
        <v>39</v>
      </c>
    </row>
    <row r="26" customFormat="false" ht="45" hidden="false" customHeight="true" outlineLevel="0" collapsed="false">
      <c r="A26" s="3" t="s">
        <v>40</v>
      </c>
      <c r="B26" s="2" t="s">
        <v>41</v>
      </c>
    </row>
    <row r="27" customFormat="false" ht="45" hidden="false" customHeight="true" outlineLevel="0" collapsed="false">
      <c r="A27" s="3" t="s">
        <v>42</v>
      </c>
      <c r="B27" s="2" t="s">
        <v>43</v>
      </c>
    </row>
    <row r="28" customFormat="false" ht="45" hidden="false" customHeight="true" outlineLevel="0" collapsed="false">
      <c r="A28" s="3" t="s">
        <v>44</v>
      </c>
      <c r="B28" s="2" t="s">
        <v>45</v>
      </c>
    </row>
    <row r="29" customFormat="false" ht="60" hidden="false" customHeight="true" outlineLevel="0" collapsed="false">
      <c r="A29" s="3" t="s">
        <v>46</v>
      </c>
      <c r="B29" s="2" t="s">
        <v>47</v>
      </c>
    </row>
    <row r="30" customFormat="false" ht="60" hidden="false" customHeight="true" outlineLevel="0" collapsed="false">
      <c r="A30" s="3" t="s">
        <v>48</v>
      </c>
      <c r="B30" s="2" t="s">
        <v>49</v>
      </c>
    </row>
    <row r="31" customFormat="false" ht="60" hidden="false" customHeight="true" outlineLevel="0" collapsed="false">
      <c r="A31" s="3" t="s">
        <v>50</v>
      </c>
      <c r="B31" s="2" t="s">
        <v>51</v>
      </c>
    </row>
    <row r="33" customFormat="false" ht="28.35" hidden="false" customHeight="false" outlineLevel="0" collapsed="false">
      <c r="A33" s="4" t="s">
        <v>52</v>
      </c>
      <c r="B33" s="4"/>
    </row>
    <row r="34" customFormat="false" ht="30" hidden="false" customHeight="true" outlineLevel="0" collapsed="false">
      <c r="A34" s="3" t="s">
        <v>53</v>
      </c>
      <c r="B34" s="2" t="s">
        <v>54</v>
      </c>
    </row>
    <row r="35" customFormat="false" ht="30" hidden="false" customHeight="true" outlineLevel="0" collapsed="false">
      <c r="A35" s="3" t="s">
        <v>55</v>
      </c>
      <c r="B35" s="2" t="s">
        <v>56</v>
      </c>
    </row>
    <row r="36" customFormat="false" ht="30" hidden="false" customHeight="true" outlineLevel="0" collapsed="false">
      <c r="A36" s="3" t="s">
        <v>57</v>
      </c>
      <c r="B36" s="2" t="s">
        <v>58</v>
      </c>
    </row>
    <row r="37" customFormat="false" ht="30" hidden="false" customHeight="true" outlineLevel="0" collapsed="false">
      <c r="A37" s="3" t="s">
        <v>59</v>
      </c>
      <c r="B37" s="2" t="s">
        <v>60</v>
      </c>
    </row>
    <row r="38" customFormat="false" ht="30" hidden="false" customHeight="true" outlineLevel="0" collapsed="false">
      <c r="A38" s="3" t="s">
        <v>61</v>
      </c>
      <c r="B38" s="2" t="s">
        <v>62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2937"/>
    <pageSetUpPr fitToPage="false"/>
  </sheetPr>
  <dimension ref="A1:K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2" min="2" style="0" width="46"/>
    <col collapsed="false" customWidth="true" hidden="false" outlineLevel="0" max="3" min="3" style="0" width="17"/>
    <col collapsed="false" customWidth="true" hidden="false" outlineLevel="0" max="4" min="4" style="0" width="14"/>
    <col collapsed="false" customWidth="true" hidden="false" outlineLevel="0" max="5" min="5" style="0" width="16"/>
    <col collapsed="false" customWidth="true" hidden="false" outlineLevel="0" max="6" min="6" style="0" width="48"/>
    <col collapsed="false" customWidth="true" hidden="false" outlineLevel="0" max="7" min="7" style="0" width="72"/>
    <col collapsed="false" customWidth="true" hidden="false" outlineLevel="0" max="8" min="8" style="0" width="18"/>
    <col collapsed="false" customWidth="true" hidden="false" outlineLevel="0" max="10" min="9" style="0" width="19"/>
    <col collapsed="false" customWidth="true" hidden="false" outlineLevel="0" max="11" min="11" style="0" width="56"/>
  </cols>
  <sheetData>
    <row r="1" customFormat="false" ht="25.5" hidden="false" customHeight="true" outlineLevel="0" collapsed="false">
      <c r="A1" s="5" t="s">
        <v>63</v>
      </c>
      <c r="B1" s="5" t="s">
        <v>64</v>
      </c>
      <c r="C1" s="5" t="s">
        <v>65</v>
      </c>
      <c r="D1" s="5" t="s">
        <v>66</v>
      </c>
      <c r="E1" s="5" t="s">
        <v>67</v>
      </c>
      <c r="F1" s="5" t="s">
        <v>68</v>
      </c>
      <c r="G1" s="5" t="s">
        <v>69</v>
      </c>
      <c r="H1" s="5" t="s">
        <v>70</v>
      </c>
      <c r="I1" s="5" t="s">
        <v>71</v>
      </c>
      <c r="J1" s="5" t="s">
        <v>72</v>
      </c>
      <c r="K1" s="5" t="s">
        <v>73</v>
      </c>
    </row>
    <row r="2" customFormat="false" ht="84" hidden="false" customHeight="true" outlineLevel="0" collapsed="false">
      <c r="A2" s="6" t="s">
        <v>74</v>
      </c>
      <c r="B2" s="6" t="s">
        <v>75</v>
      </c>
      <c r="C2" s="6" t="s">
        <v>76</v>
      </c>
      <c r="D2" s="6" t="n">
        <v>6</v>
      </c>
      <c r="E2" s="6" t="s">
        <v>77</v>
      </c>
      <c r="F2" s="7" t="s">
        <v>78</v>
      </c>
      <c r="G2" s="7" t="s">
        <v>79</v>
      </c>
      <c r="H2" s="6" t="n">
        <v>1</v>
      </c>
      <c r="I2" s="6" t="n">
        <v>70</v>
      </c>
      <c r="J2" s="6" t="n">
        <v>6</v>
      </c>
      <c r="K2" s="7" t="s">
        <v>80</v>
      </c>
    </row>
    <row r="3" customFormat="false" ht="84" hidden="false" customHeight="true" outlineLevel="0" collapsed="false">
      <c r="A3" s="6" t="s">
        <v>81</v>
      </c>
      <c r="B3" s="6" t="s">
        <v>82</v>
      </c>
      <c r="C3" s="6" t="s">
        <v>83</v>
      </c>
      <c r="D3" s="6" t="n">
        <v>6</v>
      </c>
      <c r="E3" s="6" t="s">
        <v>77</v>
      </c>
      <c r="F3" s="7" t="s">
        <v>84</v>
      </c>
      <c r="G3" s="7" t="s">
        <v>85</v>
      </c>
      <c r="H3" s="6" t="n">
        <v>2</v>
      </c>
      <c r="I3" s="6" t="n">
        <v>85</v>
      </c>
      <c r="J3" s="6" t="n">
        <v>4</v>
      </c>
      <c r="K3" s="7" t="s">
        <v>86</v>
      </c>
    </row>
    <row r="4" customFormat="false" ht="84" hidden="false" customHeight="true" outlineLevel="0" collapsed="false">
      <c r="A4" s="6" t="s">
        <v>87</v>
      </c>
      <c r="B4" s="6" t="s">
        <v>88</v>
      </c>
      <c r="C4" s="6" t="s">
        <v>89</v>
      </c>
      <c r="D4" s="6" t="n">
        <v>4</v>
      </c>
      <c r="E4" s="6" t="s">
        <v>90</v>
      </c>
      <c r="F4" s="7" t="s">
        <v>91</v>
      </c>
      <c r="G4" s="7" t="s">
        <v>92</v>
      </c>
      <c r="H4" s="6" t="n">
        <v>1</v>
      </c>
      <c r="I4" s="6" t="n">
        <v>65</v>
      </c>
      <c r="J4" s="6" t="n">
        <v>6</v>
      </c>
      <c r="K4" s="7" t="s">
        <v>93</v>
      </c>
    </row>
    <row r="5" customFormat="false" ht="84" hidden="false" customHeight="true" outlineLevel="0" collapsed="false">
      <c r="A5" s="6" t="s">
        <v>94</v>
      </c>
      <c r="B5" s="6" t="s">
        <v>95</v>
      </c>
      <c r="C5" s="6" t="s">
        <v>76</v>
      </c>
      <c r="D5" s="6" t="n">
        <v>4</v>
      </c>
      <c r="E5" s="6" t="s">
        <v>90</v>
      </c>
      <c r="F5" s="7" t="s">
        <v>96</v>
      </c>
      <c r="G5" s="7" t="s">
        <v>97</v>
      </c>
      <c r="H5" s="6" t="n">
        <v>1</v>
      </c>
      <c r="I5" s="6" t="n">
        <v>70</v>
      </c>
      <c r="J5" s="6" t="n">
        <v>6</v>
      </c>
      <c r="K5" s="7" t="s">
        <v>98</v>
      </c>
    </row>
    <row r="6" customFormat="false" ht="84" hidden="false" customHeight="true" outlineLevel="0" collapsed="false">
      <c r="A6" s="6" t="s">
        <v>99</v>
      </c>
      <c r="B6" s="6" t="s">
        <v>100</v>
      </c>
      <c r="C6" s="6" t="s">
        <v>89</v>
      </c>
      <c r="D6" s="6" t="n">
        <v>3</v>
      </c>
      <c r="E6" s="6" t="s">
        <v>101</v>
      </c>
      <c r="F6" s="7" t="s">
        <v>102</v>
      </c>
      <c r="G6" s="7" t="s">
        <v>103</v>
      </c>
      <c r="H6" s="6" t="n">
        <v>1</v>
      </c>
      <c r="I6" s="6" t="n">
        <v>60</v>
      </c>
      <c r="J6" s="6" t="n">
        <v>8</v>
      </c>
      <c r="K6" s="7" t="s">
        <v>104</v>
      </c>
    </row>
    <row r="7" customFormat="false" ht="84" hidden="false" customHeight="true" outlineLevel="0" collapsed="false">
      <c r="A7" s="6" t="s">
        <v>105</v>
      </c>
      <c r="B7" s="6" t="s">
        <v>106</v>
      </c>
      <c r="C7" s="6" t="s">
        <v>76</v>
      </c>
      <c r="D7" s="6" t="n">
        <v>5</v>
      </c>
      <c r="E7" s="6" t="s">
        <v>77</v>
      </c>
      <c r="F7" s="7" t="s">
        <v>107</v>
      </c>
      <c r="G7" s="7" t="s">
        <v>108</v>
      </c>
      <c r="H7" s="6" t="n">
        <v>1</v>
      </c>
      <c r="I7" s="6" t="n">
        <v>70</v>
      </c>
      <c r="J7" s="6" t="n">
        <v>6</v>
      </c>
      <c r="K7" s="7" t="s">
        <v>109</v>
      </c>
    </row>
    <row r="8" customFormat="false" ht="84" hidden="false" customHeight="true" outlineLevel="0" collapsed="false">
      <c r="A8" s="6" t="s">
        <v>110</v>
      </c>
      <c r="B8" s="6" t="s">
        <v>111</v>
      </c>
      <c r="C8" s="6" t="s">
        <v>76</v>
      </c>
      <c r="D8" s="6" t="n">
        <v>4</v>
      </c>
      <c r="E8" s="6" t="s">
        <v>77</v>
      </c>
      <c r="F8" s="7" t="s">
        <v>112</v>
      </c>
      <c r="G8" s="7" t="s">
        <v>113</v>
      </c>
      <c r="H8" s="6" t="n">
        <v>1</v>
      </c>
      <c r="I8" s="6" t="n">
        <v>70</v>
      </c>
      <c r="J8" s="6" t="n">
        <v>6</v>
      </c>
      <c r="K8" s="7" t="s">
        <v>114</v>
      </c>
    </row>
  </sheetData>
  <autoFilter ref="A1:K8"/>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374151"/>
    <pageSetUpPr fitToPage="false"/>
  </sheetPr>
  <dimension ref="A1:H3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17"/>
    <col collapsed="false" customWidth="true" hidden="false" outlineLevel="0" max="3" min="3" style="0" width="42"/>
    <col collapsed="false" customWidth="true" hidden="false" outlineLevel="0" max="4" min="4" style="0" width="11"/>
    <col collapsed="false" customWidth="true" hidden="false" outlineLevel="0" max="5" min="5" style="0" width="78"/>
    <col collapsed="false" customWidth="true" hidden="false" outlineLevel="0" max="6" min="6" style="0" width="36"/>
    <col collapsed="false" customWidth="true" hidden="false" outlineLevel="0" max="7" min="7" style="0" width="19"/>
    <col collapsed="false" customWidth="true" hidden="false" outlineLevel="0" max="8" min="8" style="0" width="38"/>
  </cols>
  <sheetData>
    <row r="1" customFormat="false" ht="25.5" hidden="false" customHeight="true" outlineLevel="0" collapsed="false">
      <c r="A1" s="5" t="s">
        <v>115</v>
      </c>
      <c r="B1" s="5" t="s">
        <v>63</v>
      </c>
      <c r="C1" s="5" t="s">
        <v>116</v>
      </c>
      <c r="D1" s="5" t="s">
        <v>117</v>
      </c>
      <c r="E1" s="5" t="s">
        <v>118</v>
      </c>
      <c r="F1" s="5" t="s">
        <v>119</v>
      </c>
      <c r="G1" s="5" t="s">
        <v>71</v>
      </c>
      <c r="H1" s="5" t="s">
        <v>120</v>
      </c>
    </row>
    <row r="2" customFormat="false" ht="60" hidden="false" customHeight="true" outlineLevel="0" collapsed="false">
      <c r="A2" s="6" t="s">
        <v>121</v>
      </c>
      <c r="B2" s="6" t="s">
        <v>74</v>
      </c>
      <c r="C2" s="6" t="s">
        <v>122</v>
      </c>
      <c r="D2" s="6" t="n">
        <v>1</v>
      </c>
      <c r="E2" s="7" t="s">
        <v>123</v>
      </c>
      <c r="F2" s="7" t="s">
        <v>124</v>
      </c>
      <c r="G2" s="6" t="n">
        <v>70</v>
      </c>
      <c r="H2" s="7" t="s">
        <v>125</v>
      </c>
    </row>
    <row r="3" customFormat="false" ht="60" hidden="false" customHeight="true" outlineLevel="0" collapsed="false">
      <c r="A3" s="6" t="s">
        <v>126</v>
      </c>
      <c r="B3" s="6" t="s">
        <v>74</v>
      </c>
      <c r="C3" s="6" t="s">
        <v>127</v>
      </c>
      <c r="D3" s="6" t="n">
        <v>2</v>
      </c>
      <c r="E3" s="7" t="s">
        <v>128</v>
      </c>
      <c r="F3" s="7" t="s">
        <v>129</v>
      </c>
      <c r="G3" s="6" t="n">
        <v>70</v>
      </c>
      <c r="H3" s="7" t="s">
        <v>130</v>
      </c>
    </row>
    <row r="4" customFormat="false" ht="60" hidden="false" customHeight="true" outlineLevel="0" collapsed="false">
      <c r="A4" s="6" t="s">
        <v>131</v>
      </c>
      <c r="B4" s="6" t="s">
        <v>74</v>
      </c>
      <c r="C4" s="6" t="s">
        <v>132</v>
      </c>
      <c r="D4" s="6" t="n">
        <v>3</v>
      </c>
      <c r="E4" s="7" t="s">
        <v>133</v>
      </c>
      <c r="F4" s="7" t="s">
        <v>134</v>
      </c>
      <c r="G4" s="6" t="n">
        <v>75</v>
      </c>
      <c r="H4" s="7" t="s">
        <v>135</v>
      </c>
    </row>
    <row r="5" customFormat="false" ht="60" hidden="false" customHeight="true" outlineLevel="0" collapsed="false">
      <c r="A5" s="6" t="s">
        <v>136</v>
      </c>
      <c r="B5" s="6" t="s">
        <v>74</v>
      </c>
      <c r="C5" s="6" t="s">
        <v>137</v>
      </c>
      <c r="D5" s="6" t="n">
        <v>4</v>
      </c>
      <c r="E5" s="7" t="s">
        <v>138</v>
      </c>
      <c r="F5" s="7" t="s">
        <v>139</v>
      </c>
      <c r="G5" s="6" t="n">
        <v>70</v>
      </c>
      <c r="H5" s="7" t="s">
        <v>140</v>
      </c>
    </row>
    <row r="6" customFormat="false" ht="60" hidden="false" customHeight="true" outlineLevel="0" collapsed="false">
      <c r="A6" s="6" t="s">
        <v>141</v>
      </c>
      <c r="B6" s="6" t="s">
        <v>74</v>
      </c>
      <c r="C6" s="6" t="s">
        <v>142</v>
      </c>
      <c r="D6" s="6" t="n">
        <v>5</v>
      </c>
      <c r="E6" s="7" t="s">
        <v>143</v>
      </c>
      <c r="F6" s="7" t="s">
        <v>144</v>
      </c>
      <c r="G6" s="6" t="n">
        <v>70</v>
      </c>
      <c r="H6" s="7" t="s">
        <v>145</v>
      </c>
    </row>
    <row r="7" customFormat="false" ht="60" hidden="false" customHeight="true" outlineLevel="0" collapsed="false">
      <c r="A7" s="6" t="s">
        <v>146</v>
      </c>
      <c r="B7" s="6" t="s">
        <v>74</v>
      </c>
      <c r="C7" s="6" t="s">
        <v>147</v>
      </c>
      <c r="D7" s="6" t="n">
        <v>6</v>
      </c>
      <c r="E7" s="7" t="s">
        <v>148</v>
      </c>
      <c r="F7" s="7" t="s">
        <v>149</v>
      </c>
      <c r="G7" s="6" t="n">
        <v>75</v>
      </c>
      <c r="H7" s="7" t="s">
        <v>150</v>
      </c>
    </row>
    <row r="8" customFormat="false" ht="60" hidden="false" customHeight="true" outlineLevel="0" collapsed="false">
      <c r="A8" s="6" t="s">
        <v>151</v>
      </c>
      <c r="B8" s="6" t="s">
        <v>81</v>
      </c>
      <c r="C8" s="6" t="s">
        <v>152</v>
      </c>
      <c r="D8" s="6" t="n">
        <v>1</v>
      </c>
      <c r="E8" s="7" t="s">
        <v>153</v>
      </c>
      <c r="F8" s="7" t="s">
        <v>154</v>
      </c>
      <c r="G8" s="6" t="n">
        <v>85</v>
      </c>
      <c r="H8" s="7" t="s">
        <v>155</v>
      </c>
    </row>
    <row r="9" customFormat="false" ht="60" hidden="false" customHeight="true" outlineLevel="0" collapsed="false">
      <c r="A9" s="6" t="s">
        <v>156</v>
      </c>
      <c r="B9" s="6" t="s">
        <v>81</v>
      </c>
      <c r="C9" s="6" t="s">
        <v>157</v>
      </c>
      <c r="D9" s="6" t="n">
        <v>2</v>
      </c>
      <c r="E9" s="7" t="s">
        <v>158</v>
      </c>
      <c r="F9" s="7" t="s">
        <v>159</v>
      </c>
      <c r="G9" s="6" t="n">
        <v>80</v>
      </c>
      <c r="H9" s="7" t="s">
        <v>160</v>
      </c>
    </row>
    <row r="10" customFormat="false" ht="60" hidden="false" customHeight="true" outlineLevel="0" collapsed="false">
      <c r="A10" s="6" t="s">
        <v>161</v>
      </c>
      <c r="B10" s="6" t="s">
        <v>81</v>
      </c>
      <c r="C10" s="6" t="s">
        <v>162</v>
      </c>
      <c r="D10" s="6" t="n">
        <v>3</v>
      </c>
      <c r="E10" s="7" t="s">
        <v>163</v>
      </c>
      <c r="F10" s="7" t="s">
        <v>164</v>
      </c>
      <c r="G10" s="6" t="n">
        <v>85</v>
      </c>
      <c r="H10" s="7" t="s">
        <v>165</v>
      </c>
    </row>
    <row r="11" customFormat="false" ht="60" hidden="false" customHeight="true" outlineLevel="0" collapsed="false">
      <c r="A11" s="6" t="s">
        <v>166</v>
      </c>
      <c r="B11" s="6" t="s">
        <v>87</v>
      </c>
      <c r="C11" s="6" t="s">
        <v>167</v>
      </c>
      <c r="D11" s="6" t="n">
        <v>1</v>
      </c>
      <c r="E11" s="7" t="s">
        <v>168</v>
      </c>
      <c r="F11" s="7" t="s">
        <v>169</v>
      </c>
      <c r="G11" s="6" t="n">
        <v>65</v>
      </c>
      <c r="H11" s="7"/>
    </row>
    <row r="12" customFormat="false" ht="60" hidden="false" customHeight="true" outlineLevel="0" collapsed="false">
      <c r="A12" s="6" t="s">
        <v>170</v>
      </c>
      <c r="B12" s="6" t="s">
        <v>87</v>
      </c>
      <c r="C12" s="6" t="s">
        <v>171</v>
      </c>
      <c r="D12" s="6" t="n">
        <v>2</v>
      </c>
      <c r="E12" s="7" t="s">
        <v>172</v>
      </c>
      <c r="F12" s="7" t="s">
        <v>173</v>
      </c>
      <c r="G12" s="6" t="n">
        <v>65</v>
      </c>
      <c r="H12" s="7"/>
    </row>
    <row r="13" customFormat="false" ht="60" hidden="false" customHeight="true" outlineLevel="0" collapsed="false">
      <c r="A13" s="6" t="s">
        <v>174</v>
      </c>
      <c r="B13" s="6" t="s">
        <v>87</v>
      </c>
      <c r="C13" s="6" t="s">
        <v>175</v>
      </c>
      <c r="D13" s="6" t="n">
        <v>3</v>
      </c>
      <c r="E13" s="7" t="s">
        <v>176</v>
      </c>
      <c r="F13" s="7" t="s">
        <v>177</v>
      </c>
      <c r="G13" s="6" t="n">
        <v>65</v>
      </c>
      <c r="H13" s="7" t="s">
        <v>178</v>
      </c>
    </row>
    <row r="14" customFormat="false" ht="60" hidden="false" customHeight="true" outlineLevel="0" collapsed="false">
      <c r="A14" s="6" t="s">
        <v>179</v>
      </c>
      <c r="B14" s="6" t="s">
        <v>87</v>
      </c>
      <c r="C14" s="6" t="s">
        <v>180</v>
      </c>
      <c r="D14" s="6" t="n">
        <v>4</v>
      </c>
      <c r="E14" s="7" t="s">
        <v>181</v>
      </c>
      <c r="F14" s="7" t="s">
        <v>182</v>
      </c>
      <c r="G14" s="6" t="n">
        <v>65</v>
      </c>
      <c r="H14" s="7" t="s">
        <v>183</v>
      </c>
    </row>
    <row r="15" customFormat="false" ht="60" hidden="false" customHeight="true" outlineLevel="0" collapsed="false">
      <c r="A15" s="6" t="s">
        <v>184</v>
      </c>
      <c r="B15" s="6" t="s">
        <v>94</v>
      </c>
      <c r="C15" s="6" t="s">
        <v>185</v>
      </c>
      <c r="D15" s="6" t="n">
        <v>1</v>
      </c>
      <c r="E15" s="7" t="s">
        <v>186</v>
      </c>
      <c r="F15" s="7" t="s">
        <v>187</v>
      </c>
      <c r="G15" s="6" t="n">
        <v>70</v>
      </c>
      <c r="H15" s="7"/>
    </row>
    <row r="16" customFormat="false" ht="60" hidden="false" customHeight="true" outlineLevel="0" collapsed="false">
      <c r="A16" s="6" t="s">
        <v>188</v>
      </c>
      <c r="B16" s="6" t="s">
        <v>94</v>
      </c>
      <c r="C16" s="6" t="s">
        <v>189</v>
      </c>
      <c r="D16" s="6" t="n">
        <v>2</v>
      </c>
      <c r="E16" s="7" t="s">
        <v>190</v>
      </c>
      <c r="F16" s="7" t="s">
        <v>191</v>
      </c>
      <c r="G16" s="6" t="n">
        <v>75</v>
      </c>
      <c r="H16" s="7" t="s">
        <v>192</v>
      </c>
    </row>
    <row r="17" customFormat="false" ht="60" hidden="false" customHeight="true" outlineLevel="0" collapsed="false">
      <c r="A17" s="6" t="s">
        <v>193</v>
      </c>
      <c r="B17" s="6" t="s">
        <v>94</v>
      </c>
      <c r="C17" s="6" t="s">
        <v>194</v>
      </c>
      <c r="D17" s="6" t="n">
        <v>3</v>
      </c>
      <c r="E17" s="7" t="s">
        <v>195</v>
      </c>
      <c r="F17" s="7" t="s">
        <v>196</v>
      </c>
      <c r="G17" s="6" t="n">
        <v>70</v>
      </c>
      <c r="H17" s="7" t="s">
        <v>197</v>
      </c>
    </row>
    <row r="18" customFormat="false" ht="60" hidden="false" customHeight="true" outlineLevel="0" collapsed="false">
      <c r="A18" s="6" t="s">
        <v>198</v>
      </c>
      <c r="B18" s="6" t="s">
        <v>94</v>
      </c>
      <c r="C18" s="6" t="s">
        <v>199</v>
      </c>
      <c r="D18" s="6" t="n">
        <v>4</v>
      </c>
      <c r="E18" s="7" t="s">
        <v>200</v>
      </c>
      <c r="F18" s="7" t="s">
        <v>201</v>
      </c>
      <c r="G18" s="6" t="n">
        <v>70</v>
      </c>
      <c r="H18" s="7" t="s">
        <v>202</v>
      </c>
    </row>
    <row r="19" customFormat="false" ht="60" hidden="false" customHeight="true" outlineLevel="0" collapsed="false">
      <c r="A19" s="6" t="s">
        <v>203</v>
      </c>
      <c r="B19" s="6" t="s">
        <v>99</v>
      </c>
      <c r="C19" s="6" t="s">
        <v>204</v>
      </c>
      <c r="D19" s="6" t="n">
        <v>1</v>
      </c>
      <c r="E19" s="7" t="s">
        <v>205</v>
      </c>
      <c r="F19" s="7" t="s">
        <v>206</v>
      </c>
      <c r="G19" s="6" t="n">
        <v>60</v>
      </c>
      <c r="H19" s="7"/>
    </row>
    <row r="20" customFormat="false" ht="60" hidden="false" customHeight="true" outlineLevel="0" collapsed="false">
      <c r="A20" s="6" t="s">
        <v>207</v>
      </c>
      <c r="B20" s="6" t="s">
        <v>99</v>
      </c>
      <c r="C20" s="6" t="s">
        <v>208</v>
      </c>
      <c r="D20" s="6" t="n">
        <v>2</v>
      </c>
      <c r="E20" s="7" t="s">
        <v>209</v>
      </c>
      <c r="F20" s="7" t="s">
        <v>210</v>
      </c>
      <c r="G20" s="6" t="n">
        <v>60</v>
      </c>
      <c r="H20" s="7"/>
    </row>
    <row r="21" customFormat="false" ht="60" hidden="false" customHeight="true" outlineLevel="0" collapsed="false">
      <c r="A21" s="6" t="s">
        <v>211</v>
      </c>
      <c r="B21" s="6" t="s">
        <v>99</v>
      </c>
      <c r="C21" s="6" t="s">
        <v>212</v>
      </c>
      <c r="D21" s="6" t="n">
        <v>3</v>
      </c>
      <c r="E21" s="7" t="s">
        <v>213</v>
      </c>
      <c r="F21" s="7" t="s">
        <v>214</v>
      </c>
      <c r="G21" s="6" t="n">
        <v>60</v>
      </c>
      <c r="H21" s="7" t="s">
        <v>215</v>
      </c>
    </row>
    <row r="22" customFormat="false" ht="60" hidden="false" customHeight="true" outlineLevel="0" collapsed="false">
      <c r="A22" s="6" t="s">
        <v>216</v>
      </c>
      <c r="B22" s="6" t="s">
        <v>105</v>
      </c>
      <c r="C22" s="6" t="s">
        <v>217</v>
      </c>
      <c r="D22" s="6" t="n">
        <v>1</v>
      </c>
      <c r="E22" s="7" t="s">
        <v>218</v>
      </c>
      <c r="F22" s="7" t="s">
        <v>219</v>
      </c>
      <c r="G22" s="6" t="n">
        <v>70</v>
      </c>
      <c r="H22" s="7"/>
    </row>
    <row r="23" customFormat="false" ht="60" hidden="false" customHeight="true" outlineLevel="0" collapsed="false">
      <c r="A23" s="6" t="s">
        <v>220</v>
      </c>
      <c r="B23" s="6" t="s">
        <v>105</v>
      </c>
      <c r="C23" s="6" t="s">
        <v>221</v>
      </c>
      <c r="D23" s="6" t="n">
        <v>2</v>
      </c>
      <c r="E23" s="7" t="s">
        <v>222</v>
      </c>
      <c r="F23" s="7" t="s">
        <v>223</v>
      </c>
      <c r="G23" s="6" t="n">
        <v>70</v>
      </c>
      <c r="H23" s="7"/>
    </row>
    <row r="24" customFormat="false" ht="60" hidden="false" customHeight="true" outlineLevel="0" collapsed="false">
      <c r="A24" s="6" t="s">
        <v>224</v>
      </c>
      <c r="B24" s="6" t="s">
        <v>105</v>
      </c>
      <c r="C24" s="6" t="s">
        <v>162</v>
      </c>
      <c r="D24" s="6" t="n">
        <v>3</v>
      </c>
      <c r="E24" s="7" t="s">
        <v>225</v>
      </c>
      <c r="F24" s="7" t="s">
        <v>226</v>
      </c>
      <c r="G24" s="6" t="n">
        <v>70</v>
      </c>
      <c r="H24" s="7"/>
    </row>
    <row r="25" customFormat="false" ht="60" hidden="false" customHeight="true" outlineLevel="0" collapsed="false">
      <c r="A25" s="6" t="s">
        <v>227</v>
      </c>
      <c r="B25" s="6" t="s">
        <v>105</v>
      </c>
      <c r="C25" s="6" t="s">
        <v>228</v>
      </c>
      <c r="D25" s="6" t="n">
        <v>4</v>
      </c>
      <c r="E25" s="7" t="s">
        <v>229</v>
      </c>
      <c r="F25" s="7" t="s">
        <v>230</v>
      </c>
      <c r="G25" s="6" t="n">
        <v>70</v>
      </c>
      <c r="H25" s="7" t="s">
        <v>140</v>
      </c>
    </row>
    <row r="26" customFormat="false" ht="60" hidden="false" customHeight="true" outlineLevel="0" collapsed="false">
      <c r="A26" s="6" t="s">
        <v>231</v>
      </c>
      <c r="B26" s="6" t="s">
        <v>105</v>
      </c>
      <c r="C26" s="6" t="s">
        <v>232</v>
      </c>
      <c r="D26" s="6" t="n">
        <v>5</v>
      </c>
      <c r="E26" s="7" t="s">
        <v>181</v>
      </c>
      <c r="F26" s="7" t="s">
        <v>233</v>
      </c>
      <c r="G26" s="6" t="n">
        <v>70</v>
      </c>
      <c r="H26" s="7" t="s">
        <v>183</v>
      </c>
    </row>
    <row r="27" customFormat="false" ht="60" hidden="false" customHeight="true" outlineLevel="0" collapsed="false">
      <c r="A27" s="6" t="s">
        <v>234</v>
      </c>
      <c r="B27" s="6" t="s">
        <v>110</v>
      </c>
      <c r="C27" s="6" t="s">
        <v>235</v>
      </c>
      <c r="D27" s="6" t="n">
        <v>1</v>
      </c>
      <c r="E27" s="7" t="s">
        <v>236</v>
      </c>
      <c r="F27" s="7" t="s">
        <v>237</v>
      </c>
      <c r="G27" s="6" t="n">
        <v>70</v>
      </c>
      <c r="H27" s="7" t="s">
        <v>125</v>
      </c>
    </row>
    <row r="28" customFormat="false" ht="60" hidden="false" customHeight="true" outlineLevel="0" collapsed="false">
      <c r="A28" s="6" t="s">
        <v>238</v>
      </c>
      <c r="B28" s="6" t="s">
        <v>110</v>
      </c>
      <c r="C28" s="6" t="s">
        <v>239</v>
      </c>
      <c r="D28" s="6" t="n">
        <v>2</v>
      </c>
      <c r="E28" s="7" t="s">
        <v>240</v>
      </c>
      <c r="F28" s="7" t="s">
        <v>241</v>
      </c>
      <c r="G28" s="6" t="n">
        <v>70</v>
      </c>
      <c r="H28" s="7" t="s">
        <v>242</v>
      </c>
    </row>
    <row r="29" customFormat="false" ht="60" hidden="false" customHeight="true" outlineLevel="0" collapsed="false">
      <c r="A29" s="6" t="s">
        <v>243</v>
      </c>
      <c r="B29" s="6" t="s">
        <v>110</v>
      </c>
      <c r="C29" s="6" t="s">
        <v>162</v>
      </c>
      <c r="D29" s="6" t="n">
        <v>3</v>
      </c>
      <c r="E29" s="7" t="s">
        <v>244</v>
      </c>
      <c r="F29" s="7" t="s">
        <v>245</v>
      </c>
      <c r="G29" s="6" t="n">
        <v>70</v>
      </c>
      <c r="H29" s="7" t="s">
        <v>135</v>
      </c>
    </row>
    <row r="30" customFormat="false" ht="60" hidden="false" customHeight="true" outlineLevel="0" collapsed="false">
      <c r="A30" s="6" t="s">
        <v>246</v>
      </c>
      <c r="B30" s="6" t="s">
        <v>110</v>
      </c>
      <c r="C30" s="6" t="s">
        <v>247</v>
      </c>
      <c r="D30" s="6" t="n">
        <v>4</v>
      </c>
      <c r="E30" s="7" t="s">
        <v>248</v>
      </c>
      <c r="F30" s="7" t="s">
        <v>249</v>
      </c>
      <c r="G30" s="6" t="n">
        <v>70</v>
      </c>
      <c r="H30" s="7" t="s">
        <v>250</v>
      </c>
    </row>
  </sheetData>
  <autoFilter ref="A1:H30"/>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F766E"/>
    <pageSetUpPr fitToPage="false"/>
  </sheetPr>
  <dimension ref="A1:V19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1"/>
    <col collapsed="false" customWidth="true" hidden="false" outlineLevel="0" max="2" min="2" style="0" width="24"/>
    <col collapsed="false" customWidth="true" hidden="false" outlineLevel="0" max="3" min="3" style="0" width="15"/>
    <col collapsed="false" customWidth="true" hidden="false" outlineLevel="0" max="4" min="4" style="0" width="38"/>
    <col collapsed="false" customWidth="true" hidden="false" outlineLevel="0" max="5" min="5" style="0" width="30"/>
    <col collapsed="false" customWidth="true" hidden="false" outlineLevel="0" max="6" min="6" style="0" width="40"/>
    <col collapsed="false" customWidth="true" hidden="false" outlineLevel="0" max="8" min="7" style="0" width="13"/>
    <col collapsed="false" customWidth="true" hidden="false" outlineLevel="0" max="9" min="9" style="0" width="15"/>
    <col collapsed="false" customWidth="true" hidden="false" outlineLevel="0" max="10" min="10" style="0" width="12"/>
    <col collapsed="false" customWidth="true" hidden="false" outlineLevel="0" max="11" min="11" style="0" width="14"/>
    <col collapsed="false" customWidth="true" hidden="false" outlineLevel="0" max="12" min="12" style="0" width="11"/>
    <col collapsed="false" customWidth="true" hidden="false" outlineLevel="0" max="13" min="13" style="0" width="82"/>
    <col collapsed="false" customWidth="true" hidden="false" outlineLevel="0" max="14" min="14" style="0" width="17"/>
    <col collapsed="false" customWidth="true" hidden="false" outlineLevel="0" max="15" min="15" style="0" width="26"/>
    <col collapsed="false" customWidth="true" hidden="false" outlineLevel="0" max="16" min="16" style="0" width="15"/>
    <col collapsed="false" customWidth="true" hidden="false" outlineLevel="0" max="17" min="17" style="0" width="14"/>
    <col collapsed="false" customWidth="true" hidden="false" outlineLevel="0" max="18" min="18" style="0" width="15"/>
    <col collapsed="false" customWidth="true" hidden="false" outlineLevel="0" max="19" min="19" style="0" width="34"/>
    <col collapsed="false" customWidth="true" hidden="false" outlineLevel="0" max="20" min="20" style="0" width="23"/>
    <col collapsed="false" customWidth="true" hidden="false" outlineLevel="0" max="21" min="21" style="0" width="34"/>
    <col collapsed="false" customWidth="true" hidden="false" outlineLevel="0" max="22" min="22" style="0" width="23"/>
  </cols>
  <sheetData>
    <row r="1" customFormat="false" ht="25.5" hidden="false" customHeight="true" outlineLevel="0" collapsed="false">
      <c r="A1" s="5" t="s">
        <v>251</v>
      </c>
      <c r="B1" s="5" t="s">
        <v>115</v>
      </c>
      <c r="C1" s="5" t="s">
        <v>252</v>
      </c>
      <c r="D1" s="5" t="s">
        <v>253</v>
      </c>
      <c r="E1" s="5" t="s">
        <v>254</v>
      </c>
      <c r="F1" s="5" t="s">
        <v>255</v>
      </c>
      <c r="G1" s="5" t="s">
        <v>256</v>
      </c>
      <c r="H1" s="5" t="s">
        <v>30</v>
      </c>
      <c r="I1" s="5" t="s">
        <v>38</v>
      </c>
      <c r="J1" s="5" t="s">
        <v>34</v>
      </c>
      <c r="K1" s="5" t="s">
        <v>36</v>
      </c>
      <c r="L1" s="5" t="s">
        <v>32</v>
      </c>
      <c r="M1" s="5" t="s">
        <v>257</v>
      </c>
      <c r="N1" s="5" t="s">
        <v>63</v>
      </c>
      <c r="O1" s="5" t="s">
        <v>258</v>
      </c>
      <c r="P1" s="5" t="s">
        <v>42</v>
      </c>
      <c r="Q1" s="5" t="s">
        <v>259</v>
      </c>
      <c r="R1" s="5" t="s">
        <v>260</v>
      </c>
      <c r="S1" s="5" t="s">
        <v>261</v>
      </c>
      <c r="T1" s="5" t="s">
        <v>262</v>
      </c>
      <c r="U1" s="5" t="s">
        <v>263</v>
      </c>
      <c r="V1" s="5" t="s">
        <v>264</v>
      </c>
    </row>
    <row r="2" customFormat="false" ht="33.75" hidden="false" customHeight="true" outlineLevel="0" collapsed="false">
      <c r="A2" s="6" t="n">
        <v>1001</v>
      </c>
      <c r="B2" s="6" t="s">
        <v>121</v>
      </c>
      <c r="C2" s="6" t="n">
        <v>1</v>
      </c>
      <c r="D2" s="6" t="s">
        <v>265</v>
      </c>
      <c r="E2" s="6" t="s">
        <v>266</v>
      </c>
      <c r="F2" s="6" t="s">
        <v>267</v>
      </c>
      <c r="G2" s="6" t="s">
        <v>268</v>
      </c>
      <c r="H2" s="6" t="n">
        <v>4</v>
      </c>
      <c r="I2" s="6" t="s">
        <v>269</v>
      </c>
      <c r="J2" s="6" t="n">
        <v>8</v>
      </c>
      <c r="K2" s="6" t="n">
        <v>180</v>
      </c>
      <c r="L2" s="6" t="s">
        <v>270</v>
      </c>
      <c r="M2" s="7" t="s">
        <v>271</v>
      </c>
      <c r="N2" s="6" t="s">
        <v>74</v>
      </c>
      <c r="O2" s="6" t="s">
        <v>272</v>
      </c>
      <c r="P2" s="6" t="s">
        <v>273</v>
      </c>
      <c r="Q2" s="6" t="s">
        <v>274</v>
      </c>
      <c r="R2" s="6" t="s">
        <v>275</v>
      </c>
      <c r="S2" s="6" t="s">
        <v>276</v>
      </c>
      <c r="T2" s="6" t="s">
        <v>277</v>
      </c>
      <c r="U2" s="6" t="s">
        <v>278</v>
      </c>
      <c r="V2" s="6" t="s">
        <v>279</v>
      </c>
    </row>
    <row r="3" customFormat="false" ht="33.75" hidden="false" customHeight="true" outlineLevel="0" collapsed="false">
      <c r="A3" s="6" t="n">
        <v>1002</v>
      </c>
      <c r="B3" s="6" t="s">
        <v>121</v>
      </c>
      <c r="C3" s="6" t="n">
        <v>2</v>
      </c>
      <c r="D3" s="6" t="s">
        <v>280</v>
      </c>
      <c r="E3" s="6" t="s">
        <v>281</v>
      </c>
      <c r="F3" s="6" t="s">
        <v>282</v>
      </c>
      <c r="G3" s="6" t="s">
        <v>268</v>
      </c>
      <c r="H3" s="6" t="n">
        <v>3</v>
      </c>
      <c r="I3" s="6" t="s">
        <v>283</v>
      </c>
      <c r="J3" s="6" t="n">
        <v>8</v>
      </c>
      <c r="K3" s="6" t="n">
        <v>150</v>
      </c>
      <c r="L3" s="6" t="s">
        <v>284</v>
      </c>
      <c r="M3" s="7" t="s">
        <v>285</v>
      </c>
      <c r="N3" s="6" t="s">
        <v>74</v>
      </c>
      <c r="O3" s="6" t="s">
        <v>286</v>
      </c>
      <c r="P3" s="6" t="s">
        <v>287</v>
      </c>
      <c r="Q3" s="6" t="s">
        <v>274</v>
      </c>
      <c r="R3" s="6" t="s">
        <v>275</v>
      </c>
      <c r="S3" s="6" t="s">
        <v>288</v>
      </c>
      <c r="T3" s="6" t="s">
        <v>277</v>
      </c>
      <c r="U3" s="6" t="s">
        <v>289</v>
      </c>
      <c r="V3" s="6" t="s">
        <v>279</v>
      </c>
    </row>
    <row r="4" customFormat="false" ht="33.75" hidden="false" customHeight="true" outlineLevel="0" collapsed="false">
      <c r="A4" s="6" t="n">
        <v>1003</v>
      </c>
      <c r="B4" s="6" t="s">
        <v>121</v>
      </c>
      <c r="C4" s="6" t="n">
        <v>3</v>
      </c>
      <c r="D4" s="6" t="s">
        <v>290</v>
      </c>
      <c r="E4" s="6" t="s">
        <v>291</v>
      </c>
      <c r="F4" s="6" t="s">
        <v>267</v>
      </c>
      <c r="G4" s="6" t="s">
        <v>277</v>
      </c>
      <c r="H4" s="6" t="n">
        <v>3</v>
      </c>
      <c r="I4" s="6" t="s">
        <v>292</v>
      </c>
      <c r="J4" s="6" t="n">
        <v>8.5</v>
      </c>
      <c r="K4" s="6" t="n">
        <v>120</v>
      </c>
      <c r="L4" s="6" t="s">
        <v>270</v>
      </c>
      <c r="M4" s="7" t="s">
        <v>293</v>
      </c>
      <c r="N4" s="6" t="s">
        <v>74</v>
      </c>
      <c r="O4" s="6" t="s">
        <v>294</v>
      </c>
      <c r="P4" s="6" t="s">
        <v>273</v>
      </c>
      <c r="Q4" s="6" t="s">
        <v>274</v>
      </c>
      <c r="R4" s="6" t="s">
        <v>275</v>
      </c>
      <c r="S4" s="6" t="s">
        <v>295</v>
      </c>
      <c r="T4" s="6" t="s">
        <v>268</v>
      </c>
      <c r="U4" s="6" t="s">
        <v>296</v>
      </c>
      <c r="V4" s="6" t="s">
        <v>279</v>
      </c>
    </row>
    <row r="5" customFormat="false" ht="33.75" hidden="false" customHeight="true" outlineLevel="0" collapsed="false">
      <c r="A5" s="6" t="n">
        <v>1004</v>
      </c>
      <c r="B5" s="6" t="s">
        <v>121</v>
      </c>
      <c r="C5" s="6" t="n">
        <v>4</v>
      </c>
      <c r="D5" s="6" t="s">
        <v>297</v>
      </c>
      <c r="E5" s="6" t="s">
        <v>298</v>
      </c>
      <c r="F5" s="6" t="s">
        <v>299</v>
      </c>
      <c r="G5" s="6" t="s">
        <v>300</v>
      </c>
      <c r="H5" s="6" t="n">
        <v>3</v>
      </c>
      <c r="I5" s="6" t="s">
        <v>301</v>
      </c>
      <c r="J5" s="6" t="n">
        <v>9</v>
      </c>
      <c r="K5" s="6" t="n">
        <v>75</v>
      </c>
      <c r="L5" s="6" t="s">
        <v>302</v>
      </c>
      <c r="M5" s="7" t="s">
        <v>303</v>
      </c>
      <c r="N5" s="6" t="s">
        <v>74</v>
      </c>
      <c r="O5" s="6" t="s">
        <v>304</v>
      </c>
      <c r="P5" s="6" t="s">
        <v>287</v>
      </c>
      <c r="Q5" s="6" t="s">
        <v>275</v>
      </c>
      <c r="R5" s="6" t="s">
        <v>274</v>
      </c>
      <c r="S5" s="6" t="s">
        <v>305</v>
      </c>
      <c r="T5" s="6" t="s">
        <v>277</v>
      </c>
      <c r="U5" s="6" t="s">
        <v>306</v>
      </c>
      <c r="V5" s="6" t="s">
        <v>279</v>
      </c>
    </row>
    <row r="6" customFormat="false" ht="33.75" hidden="false" customHeight="true" outlineLevel="0" collapsed="false">
      <c r="A6" s="6" t="n">
        <v>1005</v>
      </c>
      <c r="B6" s="6" t="s">
        <v>121</v>
      </c>
      <c r="C6" s="6" t="n">
        <v>5</v>
      </c>
      <c r="D6" s="6" t="s">
        <v>307</v>
      </c>
      <c r="E6" s="6" t="s">
        <v>308</v>
      </c>
      <c r="F6" s="6" t="s">
        <v>309</v>
      </c>
      <c r="G6" s="6" t="s">
        <v>300</v>
      </c>
      <c r="H6" s="6" t="n">
        <v>3</v>
      </c>
      <c r="I6" s="6" t="s">
        <v>310</v>
      </c>
      <c r="J6" s="6" t="n">
        <v>9</v>
      </c>
      <c r="K6" s="6" t="n">
        <v>75</v>
      </c>
      <c r="L6" s="6" t="s">
        <v>270</v>
      </c>
      <c r="M6" s="7" t="s">
        <v>311</v>
      </c>
      <c r="N6" s="6" t="s">
        <v>74</v>
      </c>
      <c r="O6" s="6" t="s">
        <v>312</v>
      </c>
      <c r="P6" s="6" t="s">
        <v>313</v>
      </c>
      <c r="Q6" s="6" t="s">
        <v>275</v>
      </c>
      <c r="R6" s="6" t="s">
        <v>275</v>
      </c>
      <c r="S6" s="6" t="s">
        <v>314</v>
      </c>
      <c r="T6" s="6" t="s">
        <v>277</v>
      </c>
      <c r="U6" s="6" t="s">
        <v>315</v>
      </c>
      <c r="V6" s="6" t="s">
        <v>268</v>
      </c>
    </row>
    <row r="7" customFormat="false" ht="33.75" hidden="false" customHeight="true" outlineLevel="0" collapsed="false">
      <c r="A7" s="6" t="n">
        <v>1006</v>
      </c>
      <c r="B7" s="6" t="s">
        <v>121</v>
      </c>
      <c r="C7" s="6" t="n">
        <v>6</v>
      </c>
      <c r="D7" s="6" t="s">
        <v>316</v>
      </c>
      <c r="E7" s="6" t="s">
        <v>266</v>
      </c>
      <c r="F7" s="6" t="s">
        <v>317</v>
      </c>
      <c r="G7" s="6" t="s">
        <v>318</v>
      </c>
      <c r="H7" s="6" t="n">
        <v>2</v>
      </c>
      <c r="I7" s="6" t="s">
        <v>319</v>
      </c>
      <c r="J7" s="6" t="n">
        <v>9.5</v>
      </c>
      <c r="K7" s="6" t="n">
        <v>60</v>
      </c>
      <c r="L7" s="6" t="s">
        <v>320</v>
      </c>
      <c r="M7" s="7" t="s">
        <v>321</v>
      </c>
      <c r="N7" s="6" t="s">
        <v>74</v>
      </c>
      <c r="O7" s="6" t="s">
        <v>272</v>
      </c>
      <c r="P7" s="6" t="s">
        <v>273</v>
      </c>
      <c r="Q7" s="6" t="s">
        <v>274</v>
      </c>
      <c r="R7" s="6" t="s">
        <v>275</v>
      </c>
      <c r="S7" s="6" t="s">
        <v>322</v>
      </c>
      <c r="T7" s="6" t="s">
        <v>318</v>
      </c>
      <c r="U7" s="6" t="s">
        <v>278</v>
      </c>
      <c r="V7" s="6" t="s">
        <v>279</v>
      </c>
    </row>
    <row r="8" customFormat="false" ht="33.75" hidden="false" customHeight="true" outlineLevel="0" collapsed="false">
      <c r="A8" s="6" t="n">
        <v>1007</v>
      </c>
      <c r="B8" s="6" t="s">
        <v>126</v>
      </c>
      <c r="C8" s="6" t="n">
        <v>1</v>
      </c>
      <c r="D8" s="6" t="s">
        <v>323</v>
      </c>
      <c r="E8" s="6" t="s">
        <v>324</v>
      </c>
      <c r="F8" s="6" t="s">
        <v>325</v>
      </c>
      <c r="G8" s="6" t="s">
        <v>268</v>
      </c>
      <c r="H8" s="6" t="n">
        <v>4</v>
      </c>
      <c r="I8" s="6" t="s">
        <v>283</v>
      </c>
      <c r="J8" s="6" t="n">
        <v>8</v>
      </c>
      <c r="K8" s="6" t="n">
        <v>150</v>
      </c>
      <c r="L8" s="6" t="s">
        <v>320</v>
      </c>
      <c r="M8" s="7" t="s">
        <v>326</v>
      </c>
      <c r="N8" s="6" t="s">
        <v>74</v>
      </c>
      <c r="O8" s="6" t="s">
        <v>327</v>
      </c>
      <c r="P8" s="6" t="s">
        <v>328</v>
      </c>
      <c r="Q8" s="6" t="s">
        <v>274</v>
      </c>
      <c r="R8" s="6" t="s">
        <v>275</v>
      </c>
      <c r="S8" s="6" t="s">
        <v>329</v>
      </c>
      <c r="T8" s="6" t="s">
        <v>279</v>
      </c>
      <c r="U8" s="6" t="s">
        <v>330</v>
      </c>
      <c r="V8" s="6" t="s">
        <v>277</v>
      </c>
    </row>
    <row r="9" customFormat="false" ht="33.75" hidden="false" customHeight="true" outlineLevel="0" collapsed="false">
      <c r="A9" s="6" t="n">
        <v>1008</v>
      </c>
      <c r="B9" s="6" t="s">
        <v>126</v>
      </c>
      <c r="C9" s="6" t="n">
        <v>2</v>
      </c>
      <c r="D9" s="6" t="s">
        <v>331</v>
      </c>
      <c r="E9" s="6" t="s">
        <v>324</v>
      </c>
      <c r="F9" s="6" t="s">
        <v>332</v>
      </c>
      <c r="G9" s="6" t="s">
        <v>318</v>
      </c>
      <c r="H9" s="6" t="n">
        <v>4</v>
      </c>
      <c r="I9" s="6" t="s">
        <v>333</v>
      </c>
      <c r="J9" s="6" t="n">
        <v>8.5</v>
      </c>
      <c r="K9" s="6" t="n">
        <v>150</v>
      </c>
      <c r="L9" s="6" t="s">
        <v>334</v>
      </c>
      <c r="M9" s="7" t="s">
        <v>335</v>
      </c>
      <c r="N9" s="6" t="s">
        <v>74</v>
      </c>
      <c r="O9" s="6" t="s">
        <v>336</v>
      </c>
      <c r="P9" s="6" t="s">
        <v>328</v>
      </c>
      <c r="Q9" s="6" t="s">
        <v>274</v>
      </c>
      <c r="R9" s="6" t="s">
        <v>275</v>
      </c>
      <c r="S9" s="6" t="s">
        <v>337</v>
      </c>
      <c r="T9" s="6" t="s">
        <v>279</v>
      </c>
      <c r="U9" s="6" t="s">
        <v>338</v>
      </c>
      <c r="V9" s="6" t="s">
        <v>279</v>
      </c>
    </row>
    <row r="10" customFormat="false" ht="33.75" hidden="false" customHeight="true" outlineLevel="0" collapsed="false">
      <c r="A10" s="6" t="n">
        <v>1009</v>
      </c>
      <c r="B10" s="6" t="s">
        <v>126</v>
      </c>
      <c r="C10" s="6" t="n">
        <v>3</v>
      </c>
      <c r="D10" s="6" t="s">
        <v>339</v>
      </c>
      <c r="E10" s="6" t="s">
        <v>340</v>
      </c>
      <c r="F10" s="6" t="s">
        <v>341</v>
      </c>
      <c r="G10" s="6" t="s">
        <v>300</v>
      </c>
      <c r="H10" s="6" t="n">
        <v>3</v>
      </c>
      <c r="I10" s="6" t="s">
        <v>310</v>
      </c>
      <c r="J10" s="6" t="n">
        <v>8.5</v>
      </c>
      <c r="K10" s="6" t="n">
        <v>120</v>
      </c>
      <c r="L10" s="6" t="s">
        <v>320</v>
      </c>
      <c r="M10" s="7" t="s">
        <v>342</v>
      </c>
      <c r="N10" s="6" t="s">
        <v>74</v>
      </c>
      <c r="O10" s="6" t="s">
        <v>327</v>
      </c>
      <c r="P10" s="6" t="s">
        <v>328</v>
      </c>
      <c r="Q10" s="6" t="s">
        <v>274</v>
      </c>
      <c r="R10" s="6" t="s">
        <v>275</v>
      </c>
      <c r="S10" s="6" t="s">
        <v>329</v>
      </c>
      <c r="T10" s="6" t="s">
        <v>279</v>
      </c>
      <c r="U10" s="6" t="s">
        <v>330</v>
      </c>
      <c r="V10" s="6" t="s">
        <v>277</v>
      </c>
    </row>
    <row r="11" customFormat="false" ht="33.75" hidden="false" customHeight="true" outlineLevel="0" collapsed="false">
      <c r="A11" s="6" t="n">
        <v>1010</v>
      </c>
      <c r="B11" s="6" t="s">
        <v>126</v>
      </c>
      <c r="C11" s="6" t="n">
        <v>4</v>
      </c>
      <c r="D11" s="6" t="s">
        <v>343</v>
      </c>
      <c r="E11" s="6" t="s">
        <v>344</v>
      </c>
      <c r="F11" s="6" t="s">
        <v>345</v>
      </c>
      <c r="G11" s="6" t="s">
        <v>300</v>
      </c>
      <c r="H11" s="6" t="n">
        <v>3</v>
      </c>
      <c r="I11" s="6" t="s">
        <v>346</v>
      </c>
      <c r="J11" s="6" t="n">
        <v>9</v>
      </c>
      <c r="K11" s="6" t="n">
        <v>60</v>
      </c>
      <c r="L11" s="6" t="s">
        <v>302</v>
      </c>
      <c r="M11" s="7" t="s">
        <v>347</v>
      </c>
      <c r="N11" s="6" t="s">
        <v>74</v>
      </c>
      <c r="O11" s="6" t="s">
        <v>348</v>
      </c>
      <c r="P11" s="6" t="s">
        <v>287</v>
      </c>
      <c r="Q11" s="6" t="s">
        <v>275</v>
      </c>
      <c r="R11" s="6" t="s">
        <v>275</v>
      </c>
      <c r="S11" s="6" t="s">
        <v>349</v>
      </c>
      <c r="T11" s="6" t="s">
        <v>279</v>
      </c>
      <c r="U11" s="6" t="s">
        <v>350</v>
      </c>
      <c r="V11" s="6" t="s">
        <v>318</v>
      </c>
    </row>
    <row r="12" customFormat="false" ht="33.75" hidden="false" customHeight="true" outlineLevel="0" collapsed="false">
      <c r="A12" s="6" t="n">
        <v>1011</v>
      </c>
      <c r="B12" s="6" t="s">
        <v>126</v>
      </c>
      <c r="C12" s="6" t="n">
        <v>5</v>
      </c>
      <c r="D12" s="6" t="s">
        <v>351</v>
      </c>
      <c r="E12" s="6" t="s">
        <v>324</v>
      </c>
      <c r="F12" s="6" t="s">
        <v>352</v>
      </c>
      <c r="G12" s="6" t="s">
        <v>300</v>
      </c>
      <c r="H12" s="6" t="n">
        <v>3</v>
      </c>
      <c r="I12" s="6" t="s">
        <v>301</v>
      </c>
      <c r="J12" s="6" t="n">
        <v>9</v>
      </c>
      <c r="K12" s="6" t="n">
        <v>75</v>
      </c>
      <c r="L12" s="6" t="s">
        <v>302</v>
      </c>
      <c r="M12" s="7" t="s">
        <v>353</v>
      </c>
      <c r="N12" s="6" t="s">
        <v>74</v>
      </c>
      <c r="O12" s="6" t="s">
        <v>354</v>
      </c>
      <c r="P12" s="6" t="s">
        <v>328</v>
      </c>
      <c r="Q12" s="6" t="s">
        <v>275</v>
      </c>
      <c r="R12" s="6" t="s">
        <v>275</v>
      </c>
      <c r="S12" s="6" t="s">
        <v>355</v>
      </c>
      <c r="T12" s="6" t="s">
        <v>277</v>
      </c>
      <c r="U12" s="6" t="s">
        <v>356</v>
      </c>
      <c r="V12" s="6" t="s">
        <v>300</v>
      </c>
    </row>
    <row r="13" customFormat="false" ht="33.75" hidden="false" customHeight="true" outlineLevel="0" collapsed="false">
      <c r="A13" s="6" t="n">
        <v>1012</v>
      </c>
      <c r="B13" s="6" t="s">
        <v>126</v>
      </c>
      <c r="C13" s="6" t="n">
        <v>6</v>
      </c>
      <c r="D13" s="6" t="s">
        <v>357</v>
      </c>
      <c r="E13" s="6" t="s">
        <v>358</v>
      </c>
      <c r="F13" s="6" t="s">
        <v>359</v>
      </c>
      <c r="G13" s="6" t="s">
        <v>277</v>
      </c>
      <c r="H13" s="6" t="n">
        <v>3</v>
      </c>
      <c r="I13" s="6" t="s">
        <v>310</v>
      </c>
      <c r="J13" s="6" t="n">
        <v>9</v>
      </c>
      <c r="K13" s="6" t="n">
        <v>75</v>
      </c>
      <c r="L13" s="6" t="s">
        <v>334</v>
      </c>
      <c r="M13" s="7" t="s">
        <v>360</v>
      </c>
      <c r="N13" s="6" t="s">
        <v>74</v>
      </c>
      <c r="O13" s="6" t="s">
        <v>361</v>
      </c>
      <c r="P13" s="6" t="s">
        <v>362</v>
      </c>
      <c r="Q13" s="6" t="s">
        <v>275</v>
      </c>
      <c r="R13" s="6" t="s">
        <v>275</v>
      </c>
      <c r="S13" s="6" t="s">
        <v>363</v>
      </c>
      <c r="T13" s="6" t="s">
        <v>300</v>
      </c>
      <c r="U13" s="6" t="s">
        <v>364</v>
      </c>
      <c r="V13" s="6" t="s">
        <v>268</v>
      </c>
    </row>
    <row r="14" customFormat="false" ht="33.75" hidden="false" customHeight="true" outlineLevel="0" collapsed="false">
      <c r="A14" s="6" t="n">
        <v>1013</v>
      </c>
      <c r="B14" s="6" t="s">
        <v>126</v>
      </c>
      <c r="C14" s="6" t="n">
        <v>7</v>
      </c>
      <c r="D14" s="6" t="s">
        <v>365</v>
      </c>
      <c r="E14" s="6" t="s">
        <v>359</v>
      </c>
      <c r="F14" s="6" t="s">
        <v>366</v>
      </c>
      <c r="G14" s="6" t="s">
        <v>277</v>
      </c>
      <c r="H14" s="6" t="n">
        <v>2</v>
      </c>
      <c r="I14" s="6" t="s">
        <v>301</v>
      </c>
      <c r="J14" s="6" t="n">
        <v>9.5</v>
      </c>
      <c r="K14" s="6" t="n">
        <v>60</v>
      </c>
      <c r="L14" s="6" t="s">
        <v>284</v>
      </c>
      <c r="M14" s="7" t="s">
        <v>367</v>
      </c>
      <c r="N14" s="6" t="s">
        <v>74</v>
      </c>
      <c r="O14" s="6" t="s">
        <v>368</v>
      </c>
      <c r="P14" s="6" t="s">
        <v>362</v>
      </c>
      <c r="Q14" s="6" t="s">
        <v>275</v>
      </c>
      <c r="R14" s="6" t="s">
        <v>275</v>
      </c>
      <c r="S14" s="6" t="s">
        <v>369</v>
      </c>
      <c r="T14" s="6" t="s">
        <v>300</v>
      </c>
      <c r="U14" s="6" t="s">
        <v>370</v>
      </c>
      <c r="V14" s="6" t="s">
        <v>268</v>
      </c>
    </row>
    <row r="15" customFormat="false" ht="33.75" hidden="false" customHeight="true" outlineLevel="0" collapsed="false">
      <c r="A15" s="6" t="n">
        <v>1014</v>
      </c>
      <c r="B15" s="6" t="s">
        <v>131</v>
      </c>
      <c r="C15" s="6" t="n">
        <v>1</v>
      </c>
      <c r="D15" s="6" t="s">
        <v>371</v>
      </c>
      <c r="E15" s="6" t="s">
        <v>372</v>
      </c>
      <c r="F15" s="6" t="s">
        <v>373</v>
      </c>
      <c r="G15" s="6" t="s">
        <v>268</v>
      </c>
      <c r="H15" s="6" t="n">
        <v>4</v>
      </c>
      <c r="I15" s="6" t="s">
        <v>269</v>
      </c>
      <c r="J15" s="6" t="n">
        <v>8</v>
      </c>
      <c r="K15" s="6" t="n">
        <v>210</v>
      </c>
      <c r="L15" s="6" t="s">
        <v>270</v>
      </c>
      <c r="M15" s="7" t="s">
        <v>374</v>
      </c>
      <c r="N15" s="6" t="s">
        <v>74</v>
      </c>
      <c r="O15" s="6" t="s">
        <v>375</v>
      </c>
      <c r="P15" s="6" t="s">
        <v>376</v>
      </c>
      <c r="Q15" s="6" t="s">
        <v>274</v>
      </c>
      <c r="R15" s="6" t="s">
        <v>275</v>
      </c>
      <c r="S15" s="6" t="s">
        <v>377</v>
      </c>
      <c r="T15" s="6" t="s">
        <v>279</v>
      </c>
      <c r="U15" s="6" t="s">
        <v>378</v>
      </c>
      <c r="V15" s="6" t="s">
        <v>277</v>
      </c>
    </row>
    <row r="16" customFormat="false" ht="33.75" hidden="false" customHeight="true" outlineLevel="0" collapsed="false">
      <c r="A16" s="6" t="n">
        <v>1015</v>
      </c>
      <c r="B16" s="6" t="s">
        <v>131</v>
      </c>
      <c r="C16" s="6" t="n">
        <v>2</v>
      </c>
      <c r="D16" s="6" t="s">
        <v>379</v>
      </c>
      <c r="E16" s="6" t="s">
        <v>380</v>
      </c>
      <c r="F16" s="6" t="s">
        <v>381</v>
      </c>
      <c r="G16" s="6" t="s">
        <v>268</v>
      </c>
      <c r="H16" s="6" t="n">
        <v>3</v>
      </c>
      <c r="I16" s="6" t="s">
        <v>382</v>
      </c>
      <c r="J16" s="6" t="n">
        <v>8</v>
      </c>
      <c r="K16" s="6" t="n">
        <v>150</v>
      </c>
      <c r="L16" s="6" t="s">
        <v>270</v>
      </c>
      <c r="M16" s="7" t="s">
        <v>383</v>
      </c>
      <c r="N16" s="6" t="s">
        <v>74</v>
      </c>
      <c r="O16" s="6" t="s">
        <v>384</v>
      </c>
      <c r="P16" s="6" t="s">
        <v>385</v>
      </c>
      <c r="Q16" s="6" t="s">
        <v>274</v>
      </c>
      <c r="R16" s="6" t="s">
        <v>275</v>
      </c>
      <c r="S16" s="6" t="s">
        <v>386</v>
      </c>
      <c r="T16" s="6" t="s">
        <v>277</v>
      </c>
      <c r="U16" s="6" t="s">
        <v>387</v>
      </c>
      <c r="V16" s="6" t="s">
        <v>279</v>
      </c>
    </row>
    <row r="17" customFormat="false" ht="33.75" hidden="false" customHeight="true" outlineLevel="0" collapsed="false">
      <c r="A17" s="6" t="n">
        <v>1016</v>
      </c>
      <c r="B17" s="6" t="s">
        <v>131</v>
      </c>
      <c r="C17" s="6" t="n">
        <v>3</v>
      </c>
      <c r="D17" s="6" t="s">
        <v>388</v>
      </c>
      <c r="E17" s="6" t="s">
        <v>372</v>
      </c>
      <c r="F17" s="6" t="s">
        <v>389</v>
      </c>
      <c r="G17" s="6" t="s">
        <v>279</v>
      </c>
      <c r="H17" s="6" t="n">
        <v>3</v>
      </c>
      <c r="I17" s="6" t="s">
        <v>310</v>
      </c>
      <c r="J17" s="6" t="n">
        <v>8.5</v>
      </c>
      <c r="K17" s="6" t="n">
        <v>120</v>
      </c>
      <c r="L17" s="6" t="s">
        <v>320</v>
      </c>
      <c r="M17" s="7" t="s">
        <v>390</v>
      </c>
      <c r="N17" s="6" t="s">
        <v>74</v>
      </c>
      <c r="O17" s="6" t="s">
        <v>375</v>
      </c>
      <c r="P17" s="6" t="s">
        <v>376</v>
      </c>
      <c r="Q17" s="6" t="s">
        <v>274</v>
      </c>
      <c r="R17" s="6" t="s">
        <v>275</v>
      </c>
      <c r="S17" s="6" t="s">
        <v>391</v>
      </c>
      <c r="T17" s="6" t="s">
        <v>279</v>
      </c>
      <c r="U17" s="6" t="s">
        <v>371</v>
      </c>
      <c r="V17" s="6" t="s">
        <v>268</v>
      </c>
    </row>
    <row r="18" customFormat="false" ht="33.75" hidden="false" customHeight="true" outlineLevel="0" collapsed="false">
      <c r="A18" s="6" t="n">
        <v>1017</v>
      </c>
      <c r="B18" s="6" t="s">
        <v>131</v>
      </c>
      <c r="C18" s="6" t="n">
        <v>4</v>
      </c>
      <c r="D18" s="6" t="s">
        <v>392</v>
      </c>
      <c r="E18" s="6" t="s">
        <v>372</v>
      </c>
      <c r="F18" s="6" t="s">
        <v>389</v>
      </c>
      <c r="G18" s="6" t="s">
        <v>277</v>
      </c>
      <c r="H18" s="6" t="n">
        <v>3</v>
      </c>
      <c r="I18" s="6" t="s">
        <v>393</v>
      </c>
      <c r="J18" s="6" t="n">
        <v>8.5</v>
      </c>
      <c r="K18" s="6" t="n">
        <v>120</v>
      </c>
      <c r="L18" s="6" t="s">
        <v>334</v>
      </c>
      <c r="M18" s="7" t="s">
        <v>394</v>
      </c>
      <c r="N18" s="6" t="s">
        <v>74</v>
      </c>
      <c r="O18" s="6" t="s">
        <v>395</v>
      </c>
      <c r="P18" s="6" t="s">
        <v>376</v>
      </c>
      <c r="Q18" s="6" t="s">
        <v>274</v>
      </c>
      <c r="R18" s="6" t="s">
        <v>274</v>
      </c>
      <c r="S18" s="6" t="s">
        <v>396</v>
      </c>
      <c r="T18" s="6" t="s">
        <v>277</v>
      </c>
      <c r="U18" s="6" t="s">
        <v>397</v>
      </c>
      <c r="V18" s="6" t="s">
        <v>277</v>
      </c>
    </row>
    <row r="19" customFormat="false" ht="33.75" hidden="false" customHeight="true" outlineLevel="0" collapsed="false">
      <c r="A19" s="6" t="n">
        <v>1018</v>
      </c>
      <c r="B19" s="6" t="s">
        <v>131</v>
      </c>
      <c r="C19" s="6" t="n">
        <v>5</v>
      </c>
      <c r="D19" s="6" t="s">
        <v>398</v>
      </c>
      <c r="E19" s="6" t="s">
        <v>380</v>
      </c>
      <c r="F19" s="6" t="s">
        <v>399</v>
      </c>
      <c r="G19" s="6" t="s">
        <v>279</v>
      </c>
      <c r="H19" s="6" t="n">
        <v>3</v>
      </c>
      <c r="I19" s="6" t="s">
        <v>301</v>
      </c>
      <c r="J19" s="6" t="n">
        <v>9</v>
      </c>
      <c r="K19" s="6" t="n">
        <v>90</v>
      </c>
      <c r="L19" s="6" t="s">
        <v>270</v>
      </c>
      <c r="M19" s="7" t="s">
        <v>400</v>
      </c>
      <c r="N19" s="6" t="s">
        <v>74</v>
      </c>
      <c r="O19" s="6" t="s">
        <v>401</v>
      </c>
      <c r="P19" s="6" t="s">
        <v>385</v>
      </c>
      <c r="Q19" s="6" t="s">
        <v>275</v>
      </c>
      <c r="R19" s="6" t="s">
        <v>275</v>
      </c>
      <c r="S19" s="6" t="s">
        <v>402</v>
      </c>
      <c r="T19" s="6" t="s">
        <v>279</v>
      </c>
      <c r="U19" s="6" t="s">
        <v>403</v>
      </c>
      <c r="V19" s="6" t="s">
        <v>318</v>
      </c>
    </row>
    <row r="20" customFormat="false" ht="33.75" hidden="false" customHeight="true" outlineLevel="0" collapsed="false">
      <c r="A20" s="6" t="n">
        <v>1019</v>
      </c>
      <c r="B20" s="6" t="s">
        <v>131</v>
      </c>
      <c r="C20" s="6" t="n">
        <v>6</v>
      </c>
      <c r="D20" s="6" t="s">
        <v>404</v>
      </c>
      <c r="E20" s="6" t="s">
        <v>405</v>
      </c>
      <c r="F20" s="6" t="s">
        <v>406</v>
      </c>
      <c r="G20" s="6" t="s">
        <v>279</v>
      </c>
      <c r="H20" s="6" t="n">
        <v>4</v>
      </c>
      <c r="I20" s="6" t="s">
        <v>310</v>
      </c>
      <c r="J20" s="6" t="n">
        <v>9</v>
      </c>
      <c r="K20" s="6" t="n">
        <v>75</v>
      </c>
      <c r="L20" s="6" t="s">
        <v>407</v>
      </c>
      <c r="M20" s="7" t="s">
        <v>408</v>
      </c>
      <c r="N20" s="6" t="s">
        <v>74</v>
      </c>
      <c r="O20" s="6" t="s">
        <v>409</v>
      </c>
      <c r="P20" s="6" t="s">
        <v>410</v>
      </c>
      <c r="Q20" s="6" t="s">
        <v>275</v>
      </c>
      <c r="R20" s="6" t="s">
        <v>275</v>
      </c>
      <c r="S20" s="6" t="s">
        <v>411</v>
      </c>
      <c r="T20" s="6" t="s">
        <v>279</v>
      </c>
      <c r="U20" s="6" t="s">
        <v>412</v>
      </c>
      <c r="V20" s="6" t="s">
        <v>279</v>
      </c>
    </row>
    <row r="21" customFormat="false" ht="33.75" hidden="false" customHeight="true" outlineLevel="0" collapsed="false">
      <c r="A21" s="6" t="n">
        <v>1020</v>
      </c>
      <c r="B21" s="6" t="s">
        <v>136</v>
      </c>
      <c r="C21" s="6" t="n">
        <v>1</v>
      </c>
      <c r="D21" s="6" t="s">
        <v>288</v>
      </c>
      <c r="E21" s="6" t="s">
        <v>281</v>
      </c>
      <c r="F21" s="6" t="s">
        <v>282</v>
      </c>
      <c r="G21" s="6" t="s">
        <v>277</v>
      </c>
      <c r="H21" s="6" t="n">
        <v>4</v>
      </c>
      <c r="I21" s="6" t="s">
        <v>283</v>
      </c>
      <c r="J21" s="6" t="n">
        <v>8</v>
      </c>
      <c r="K21" s="6" t="n">
        <v>150</v>
      </c>
      <c r="L21" s="6" t="s">
        <v>334</v>
      </c>
      <c r="M21" s="7" t="s">
        <v>413</v>
      </c>
      <c r="N21" s="6" t="s">
        <v>74</v>
      </c>
      <c r="O21" s="6" t="s">
        <v>286</v>
      </c>
      <c r="P21" s="6" t="s">
        <v>287</v>
      </c>
      <c r="Q21" s="6" t="s">
        <v>274</v>
      </c>
      <c r="R21" s="6" t="s">
        <v>275</v>
      </c>
      <c r="S21" s="6" t="s">
        <v>280</v>
      </c>
      <c r="T21" s="6" t="s">
        <v>268</v>
      </c>
      <c r="U21" s="6" t="s">
        <v>289</v>
      </c>
      <c r="V21" s="6" t="s">
        <v>279</v>
      </c>
    </row>
    <row r="22" customFormat="false" ht="33.75" hidden="false" customHeight="true" outlineLevel="0" collapsed="false">
      <c r="A22" s="6" t="n">
        <v>1021</v>
      </c>
      <c r="B22" s="6" t="s">
        <v>136</v>
      </c>
      <c r="C22" s="6" t="n">
        <v>2</v>
      </c>
      <c r="D22" s="6" t="s">
        <v>414</v>
      </c>
      <c r="E22" s="6" t="s">
        <v>291</v>
      </c>
      <c r="F22" s="6" t="s">
        <v>267</v>
      </c>
      <c r="G22" s="6" t="s">
        <v>268</v>
      </c>
      <c r="H22" s="6" t="n">
        <v>3</v>
      </c>
      <c r="I22" s="6" t="s">
        <v>382</v>
      </c>
      <c r="J22" s="6" t="n">
        <v>8</v>
      </c>
      <c r="K22" s="6" t="n">
        <v>150</v>
      </c>
      <c r="L22" s="6" t="s">
        <v>270</v>
      </c>
      <c r="M22" s="7" t="s">
        <v>415</v>
      </c>
      <c r="N22" s="6" t="s">
        <v>74</v>
      </c>
      <c r="O22" s="6" t="s">
        <v>294</v>
      </c>
      <c r="P22" s="6" t="s">
        <v>273</v>
      </c>
      <c r="Q22" s="6" t="s">
        <v>274</v>
      </c>
      <c r="R22" s="6" t="s">
        <v>275</v>
      </c>
      <c r="S22" s="6" t="s">
        <v>290</v>
      </c>
      <c r="T22" s="6" t="s">
        <v>277</v>
      </c>
      <c r="U22" s="6" t="s">
        <v>416</v>
      </c>
      <c r="V22" s="6" t="s">
        <v>279</v>
      </c>
    </row>
    <row r="23" customFormat="false" ht="33.75" hidden="false" customHeight="true" outlineLevel="0" collapsed="false">
      <c r="A23" s="6" t="n">
        <v>1022</v>
      </c>
      <c r="B23" s="6" t="s">
        <v>136</v>
      </c>
      <c r="C23" s="6" t="n">
        <v>3</v>
      </c>
      <c r="D23" s="6" t="s">
        <v>417</v>
      </c>
      <c r="E23" s="6" t="s">
        <v>418</v>
      </c>
      <c r="F23" s="6" t="s">
        <v>419</v>
      </c>
      <c r="G23" s="6" t="s">
        <v>318</v>
      </c>
      <c r="H23" s="6" t="n">
        <v>3</v>
      </c>
      <c r="I23" s="6" t="s">
        <v>292</v>
      </c>
      <c r="J23" s="6" t="n">
        <v>8.5</v>
      </c>
      <c r="K23" s="6" t="n">
        <v>120</v>
      </c>
      <c r="L23" s="6" t="s">
        <v>270</v>
      </c>
      <c r="M23" s="7" t="s">
        <v>420</v>
      </c>
      <c r="N23" s="6" t="s">
        <v>74</v>
      </c>
      <c r="O23" s="6" t="s">
        <v>421</v>
      </c>
      <c r="P23" s="6" t="s">
        <v>273</v>
      </c>
      <c r="Q23" s="6" t="s">
        <v>274</v>
      </c>
      <c r="R23" s="6" t="s">
        <v>275</v>
      </c>
      <c r="S23" s="6" t="s">
        <v>422</v>
      </c>
      <c r="T23" s="6" t="s">
        <v>279</v>
      </c>
      <c r="U23" s="6" t="s">
        <v>423</v>
      </c>
      <c r="V23" s="6" t="s">
        <v>277</v>
      </c>
    </row>
    <row r="24" customFormat="false" ht="33.75" hidden="false" customHeight="true" outlineLevel="0" collapsed="false">
      <c r="A24" s="6" t="n">
        <v>1023</v>
      </c>
      <c r="B24" s="6" t="s">
        <v>136</v>
      </c>
      <c r="C24" s="6" t="n">
        <v>4</v>
      </c>
      <c r="D24" s="6" t="s">
        <v>424</v>
      </c>
      <c r="E24" s="6" t="s">
        <v>425</v>
      </c>
      <c r="F24" s="6" t="s">
        <v>281</v>
      </c>
      <c r="G24" s="6" t="s">
        <v>279</v>
      </c>
      <c r="H24" s="6" t="n">
        <v>3</v>
      </c>
      <c r="I24" s="6" t="s">
        <v>301</v>
      </c>
      <c r="J24" s="6" t="n">
        <v>9</v>
      </c>
      <c r="K24" s="6" t="n">
        <v>75</v>
      </c>
      <c r="L24" s="6" t="s">
        <v>426</v>
      </c>
      <c r="M24" s="7" t="s">
        <v>427</v>
      </c>
      <c r="N24" s="6" t="s">
        <v>74</v>
      </c>
      <c r="O24" s="6" t="s">
        <v>428</v>
      </c>
      <c r="P24" s="6" t="s">
        <v>273</v>
      </c>
      <c r="Q24" s="6" t="s">
        <v>275</v>
      </c>
      <c r="R24" s="6" t="s">
        <v>275</v>
      </c>
      <c r="S24" s="6" t="s">
        <v>429</v>
      </c>
      <c r="T24" s="6" t="s">
        <v>300</v>
      </c>
      <c r="U24" s="6" t="s">
        <v>430</v>
      </c>
      <c r="V24" s="6" t="s">
        <v>277</v>
      </c>
    </row>
    <row r="25" customFormat="false" ht="33.75" hidden="false" customHeight="true" outlineLevel="0" collapsed="false">
      <c r="A25" s="6" t="n">
        <v>1024</v>
      </c>
      <c r="B25" s="6" t="s">
        <v>136</v>
      </c>
      <c r="C25" s="6" t="n">
        <v>5</v>
      </c>
      <c r="D25" s="6" t="s">
        <v>305</v>
      </c>
      <c r="E25" s="6" t="s">
        <v>298</v>
      </c>
      <c r="F25" s="6" t="s">
        <v>431</v>
      </c>
      <c r="G25" s="6" t="s">
        <v>277</v>
      </c>
      <c r="H25" s="6" t="n">
        <v>4</v>
      </c>
      <c r="I25" s="6" t="s">
        <v>432</v>
      </c>
      <c r="J25" s="6" t="n">
        <v>9</v>
      </c>
      <c r="K25" s="6" t="n">
        <v>60</v>
      </c>
      <c r="L25" s="6" t="s">
        <v>302</v>
      </c>
      <c r="M25" s="7" t="s">
        <v>433</v>
      </c>
      <c r="N25" s="6" t="s">
        <v>74</v>
      </c>
      <c r="O25" s="6" t="s">
        <v>304</v>
      </c>
      <c r="P25" s="6" t="s">
        <v>287</v>
      </c>
      <c r="Q25" s="6" t="s">
        <v>275</v>
      </c>
      <c r="R25" s="6" t="s">
        <v>275</v>
      </c>
      <c r="S25" s="6" t="s">
        <v>297</v>
      </c>
      <c r="T25" s="6" t="s">
        <v>300</v>
      </c>
      <c r="U25" s="6" t="s">
        <v>306</v>
      </c>
      <c r="V25" s="6" t="s">
        <v>279</v>
      </c>
    </row>
    <row r="26" customFormat="false" ht="33.75" hidden="false" customHeight="true" outlineLevel="0" collapsed="false">
      <c r="A26" s="6" t="n">
        <v>1025</v>
      </c>
      <c r="B26" s="6" t="s">
        <v>136</v>
      </c>
      <c r="C26" s="6" t="n">
        <v>6</v>
      </c>
      <c r="D26" s="6" t="s">
        <v>434</v>
      </c>
      <c r="E26" s="6" t="s">
        <v>435</v>
      </c>
      <c r="F26" s="6" t="s">
        <v>436</v>
      </c>
      <c r="G26" s="6" t="s">
        <v>300</v>
      </c>
      <c r="H26" s="6" t="n">
        <v>3</v>
      </c>
      <c r="I26" s="6" t="s">
        <v>301</v>
      </c>
      <c r="J26" s="6" t="n">
        <v>9.5</v>
      </c>
      <c r="K26" s="6" t="n">
        <v>60</v>
      </c>
      <c r="L26" s="6" t="s">
        <v>302</v>
      </c>
      <c r="M26" s="7" t="s">
        <v>437</v>
      </c>
      <c r="N26" s="6" t="s">
        <v>74</v>
      </c>
      <c r="O26" s="6" t="s">
        <v>438</v>
      </c>
      <c r="P26" s="6" t="s">
        <v>313</v>
      </c>
      <c r="Q26" s="6" t="s">
        <v>275</v>
      </c>
      <c r="R26" s="6" t="s">
        <v>275</v>
      </c>
      <c r="S26" s="6" t="s">
        <v>439</v>
      </c>
      <c r="T26" s="6" t="s">
        <v>300</v>
      </c>
      <c r="U26" s="6" t="s">
        <v>440</v>
      </c>
      <c r="V26" s="6" t="s">
        <v>318</v>
      </c>
    </row>
    <row r="27" customFormat="false" ht="33.75" hidden="false" customHeight="true" outlineLevel="0" collapsed="false">
      <c r="A27" s="6" t="n">
        <v>1026</v>
      </c>
      <c r="B27" s="6" t="s">
        <v>141</v>
      </c>
      <c r="C27" s="6" t="n">
        <v>1</v>
      </c>
      <c r="D27" s="6" t="s">
        <v>441</v>
      </c>
      <c r="E27" s="6" t="s">
        <v>324</v>
      </c>
      <c r="F27" s="6" t="s">
        <v>332</v>
      </c>
      <c r="G27" s="6" t="s">
        <v>279</v>
      </c>
      <c r="H27" s="6" t="n">
        <v>4</v>
      </c>
      <c r="I27" s="6" t="s">
        <v>382</v>
      </c>
      <c r="J27" s="6" t="n">
        <v>8</v>
      </c>
      <c r="K27" s="6" t="n">
        <v>120</v>
      </c>
      <c r="L27" s="6" t="s">
        <v>334</v>
      </c>
      <c r="M27" s="7" t="s">
        <v>442</v>
      </c>
      <c r="N27" s="6" t="s">
        <v>74</v>
      </c>
      <c r="O27" s="6" t="s">
        <v>336</v>
      </c>
      <c r="P27" s="6" t="s">
        <v>328</v>
      </c>
      <c r="Q27" s="6" t="s">
        <v>274</v>
      </c>
      <c r="R27" s="6" t="s">
        <v>275</v>
      </c>
      <c r="S27" s="6" t="s">
        <v>331</v>
      </c>
      <c r="T27" s="6" t="s">
        <v>318</v>
      </c>
      <c r="U27" s="6" t="s">
        <v>338</v>
      </c>
      <c r="V27" s="6" t="s">
        <v>279</v>
      </c>
    </row>
    <row r="28" customFormat="false" ht="33.75" hidden="false" customHeight="true" outlineLevel="0" collapsed="false">
      <c r="A28" s="6" t="n">
        <v>1027</v>
      </c>
      <c r="B28" s="6" t="s">
        <v>141</v>
      </c>
      <c r="C28" s="6" t="n">
        <v>2</v>
      </c>
      <c r="D28" s="6" t="s">
        <v>329</v>
      </c>
      <c r="E28" s="6" t="s">
        <v>340</v>
      </c>
      <c r="F28" s="6" t="s">
        <v>341</v>
      </c>
      <c r="G28" s="6" t="s">
        <v>279</v>
      </c>
      <c r="H28" s="6" t="n">
        <v>4</v>
      </c>
      <c r="I28" s="6" t="s">
        <v>382</v>
      </c>
      <c r="J28" s="6" t="n">
        <v>8.5</v>
      </c>
      <c r="K28" s="6" t="n">
        <v>120</v>
      </c>
      <c r="L28" s="6" t="s">
        <v>320</v>
      </c>
      <c r="M28" s="7" t="s">
        <v>443</v>
      </c>
      <c r="N28" s="6" t="s">
        <v>74</v>
      </c>
      <c r="O28" s="6" t="s">
        <v>327</v>
      </c>
      <c r="P28" s="6" t="s">
        <v>328</v>
      </c>
      <c r="Q28" s="6" t="s">
        <v>274</v>
      </c>
      <c r="R28" s="6" t="s">
        <v>275</v>
      </c>
      <c r="S28" s="6" t="s">
        <v>444</v>
      </c>
      <c r="T28" s="6" t="s">
        <v>300</v>
      </c>
      <c r="U28" s="6" t="s">
        <v>445</v>
      </c>
      <c r="V28" s="6" t="s">
        <v>277</v>
      </c>
    </row>
    <row r="29" customFormat="false" ht="33.75" hidden="false" customHeight="true" outlineLevel="0" collapsed="false">
      <c r="A29" s="6" t="n">
        <v>1028</v>
      </c>
      <c r="B29" s="6" t="s">
        <v>141</v>
      </c>
      <c r="C29" s="6" t="n">
        <v>3</v>
      </c>
      <c r="D29" s="6" t="s">
        <v>446</v>
      </c>
      <c r="E29" s="6" t="s">
        <v>324</v>
      </c>
      <c r="F29" s="6" t="s">
        <v>332</v>
      </c>
      <c r="G29" s="6" t="s">
        <v>300</v>
      </c>
      <c r="H29" s="6" t="n">
        <v>3</v>
      </c>
      <c r="I29" s="6" t="s">
        <v>310</v>
      </c>
      <c r="J29" s="6" t="n">
        <v>8.5</v>
      </c>
      <c r="K29" s="6" t="n">
        <v>90</v>
      </c>
      <c r="L29" s="6" t="s">
        <v>334</v>
      </c>
      <c r="M29" s="7" t="s">
        <v>447</v>
      </c>
      <c r="N29" s="6" t="s">
        <v>74</v>
      </c>
      <c r="O29" s="6" t="s">
        <v>336</v>
      </c>
      <c r="P29" s="6" t="s">
        <v>328</v>
      </c>
      <c r="Q29" s="6" t="s">
        <v>274</v>
      </c>
      <c r="R29" s="6" t="s">
        <v>274</v>
      </c>
      <c r="S29" s="6" t="s">
        <v>337</v>
      </c>
      <c r="T29" s="6" t="s">
        <v>279</v>
      </c>
      <c r="U29" s="6" t="s">
        <v>330</v>
      </c>
      <c r="V29" s="6" t="s">
        <v>277</v>
      </c>
    </row>
    <row r="30" customFormat="false" ht="33.75" hidden="false" customHeight="true" outlineLevel="0" collapsed="false">
      <c r="A30" s="6" t="n">
        <v>1029</v>
      </c>
      <c r="B30" s="6" t="s">
        <v>141</v>
      </c>
      <c r="C30" s="6" t="n">
        <v>4</v>
      </c>
      <c r="D30" s="6" t="s">
        <v>349</v>
      </c>
      <c r="E30" s="6" t="s">
        <v>344</v>
      </c>
      <c r="F30" s="6" t="s">
        <v>448</v>
      </c>
      <c r="G30" s="6" t="s">
        <v>279</v>
      </c>
      <c r="H30" s="6" t="n">
        <v>3</v>
      </c>
      <c r="I30" s="6" t="s">
        <v>346</v>
      </c>
      <c r="J30" s="6" t="n">
        <v>9</v>
      </c>
      <c r="K30" s="6" t="n">
        <v>60</v>
      </c>
      <c r="L30" s="6" t="s">
        <v>302</v>
      </c>
      <c r="M30" s="7" t="s">
        <v>449</v>
      </c>
      <c r="N30" s="6" t="s">
        <v>74</v>
      </c>
      <c r="O30" s="6" t="s">
        <v>348</v>
      </c>
      <c r="P30" s="6" t="s">
        <v>287</v>
      </c>
      <c r="Q30" s="6" t="s">
        <v>275</v>
      </c>
      <c r="R30" s="6" t="s">
        <v>275</v>
      </c>
      <c r="S30" s="6" t="s">
        <v>450</v>
      </c>
      <c r="T30" s="6" t="s">
        <v>277</v>
      </c>
      <c r="U30" s="6" t="s">
        <v>451</v>
      </c>
      <c r="V30" s="6" t="s">
        <v>300</v>
      </c>
    </row>
    <row r="31" customFormat="false" ht="33.75" hidden="false" customHeight="true" outlineLevel="0" collapsed="false">
      <c r="A31" s="6" t="n">
        <v>1030</v>
      </c>
      <c r="B31" s="6" t="s">
        <v>141</v>
      </c>
      <c r="C31" s="6" t="n">
        <v>5</v>
      </c>
      <c r="D31" s="6" t="s">
        <v>452</v>
      </c>
      <c r="E31" s="6" t="s">
        <v>453</v>
      </c>
      <c r="F31" s="6" t="s">
        <v>454</v>
      </c>
      <c r="G31" s="6" t="s">
        <v>268</v>
      </c>
      <c r="H31" s="6" t="n">
        <v>3</v>
      </c>
      <c r="I31" s="6" t="s">
        <v>310</v>
      </c>
      <c r="J31" s="6" t="n">
        <v>9</v>
      </c>
      <c r="K31" s="6" t="n">
        <v>75</v>
      </c>
      <c r="L31" s="6" t="s">
        <v>455</v>
      </c>
      <c r="M31" s="7" t="s">
        <v>456</v>
      </c>
      <c r="N31" s="6" t="s">
        <v>74</v>
      </c>
      <c r="O31" s="6" t="s">
        <v>457</v>
      </c>
      <c r="P31" s="6" t="s">
        <v>458</v>
      </c>
      <c r="Q31" s="6" t="s">
        <v>275</v>
      </c>
      <c r="R31" s="6" t="s">
        <v>275</v>
      </c>
      <c r="S31" s="6" t="s">
        <v>459</v>
      </c>
      <c r="T31" s="6" t="s">
        <v>277</v>
      </c>
      <c r="U31" s="6" t="s">
        <v>460</v>
      </c>
      <c r="V31" s="6" t="s">
        <v>300</v>
      </c>
    </row>
    <row r="32" customFormat="false" ht="33.75" hidden="false" customHeight="true" outlineLevel="0" collapsed="false">
      <c r="A32" s="6" t="n">
        <v>1031</v>
      </c>
      <c r="B32" s="6" t="s">
        <v>141</v>
      </c>
      <c r="C32" s="6" t="n">
        <v>6</v>
      </c>
      <c r="D32" s="6" t="s">
        <v>364</v>
      </c>
      <c r="E32" s="6" t="s">
        <v>461</v>
      </c>
      <c r="F32" s="6" t="s">
        <v>359</v>
      </c>
      <c r="G32" s="6" t="s">
        <v>268</v>
      </c>
      <c r="H32" s="6" t="n">
        <v>3</v>
      </c>
      <c r="I32" s="6" t="s">
        <v>310</v>
      </c>
      <c r="J32" s="6" t="n">
        <v>9</v>
      </c>
      <c r="K32" s="6" t="n">
        <v>75</v>
      </c>
      <c r="L32" s="6" t="s">
        <v>334</v>
      </c>
      <c r="M32" s="7" t="s">
        <v>462</v>
      </c>
      <c r="N32" s="6" t="s">
        <v>74</v>
      </c>
      <c r="O32" s="6" t="s">
        <v>463</v>
      </c>
      <c r="P32" s="6" t="s">
        <v>362</v>
      </c>
      <c r="Q32" s="6" t="s">
        <v>275</v>
      </c>
      <c r="R32" s="6" t="s">
        <v>275</v>
      </c>
      <c r="S32" s="6" t="s">
        <v>464</v>
      </c>
      <c r="T32" s="6" t="s">
        <v>279</v>
      </c>
      <c r="U32" s="6" t="s">
        <v>465</v>
      </c>
      <c r="V32" s="6" t="s">
        <v>277</v>
      </c>
    </row>
    <row r="33" customFormat="false" ht="33.75" hidden="false" customHeight="true" outlineLevel="0" collapsed="false">
      <c r="A33" s="6" t="n">
        <v>1032</v>
      </c>
      <c r="B33" s="6" t="s">
        <v>141</v>
      </c>
      <c r="C33" s="6" t="n">
        <v>7</v>
      </c>
      <c r="D33" s="6" t="s">
        <v>369</v>
      </c>
      <c r="E33" s="6" t="s">
        <v>359</v>
      </c>
      <c r="F33" s="6" t="s">
        <v>466</v>
      </c>
      <c r="G33" s="6" t="s">
        <v>300</v>
      </c>
      <c r="H33" s="6" t="n">
        <v>2</v>
      </c>
      <c r="I33" s="6" t="s">
        <v>301</v>
      </c>
      <c r="J33" s="6" t="n">
        <v>9.5</v>
      </c>
      <c r="K33" s="6" t="n">
        <v>60</v>
      </c>
      <c r="L33" s="6" t="s">
        <v>302</v>
      </c>
      <c r="M33" s="7" t="s">
        <v>467</v>
      </c>
      <c r="N33" s="6" t="s">
        <v>74</v>
      </c>
      <c r="O33" s="6" t="s">
        <v>368</v>
      </c>
      <c r="P33" s="6" t="s">
        <v>362</v>
      </c>
      <c r="Q33" s="6" t="s">
        <v>275</v>
      </c>
      <c r="R33" s="6" t="s">
        <v>275</v>
      </c>
      <c r="S33" s="6" t="s">
        <v>365</v>
      </c>
      <c r="T33" s="6" t="s">
        <v>277</v>
      </c>
      <c r="U33" s="6" t="s">
        <v>370</v>
      </c>
      <c r="V33" s="6" t="s">
        <v>268</v>
      </c>
    </row>
    <row r="34" customFormat="false" ht="33.75" hidden="false" customHeight="true" outlineLevel="0" collapsed="false">
      <c r="A34" s="6" t="n">
        <v>1033</v>
      </c>
      <c r="B34" s="6" t="s">
        <v>146</v>
      </c>
      <c r="C34" s="6" t="n">
        <v>1</v>
      </c>
      <c r="D34" s="6" t="s">
        <v>468</v>
      </c>
      <c r="E34" s="6" t="s">
        <v>469</v>
      </c>
      <c r="F34" s="6" t="s">
        <v>470</v>
      </c>
      <c r="G34" s="6" t="s">
        <v>268</v>
      </c>
      <c r="H34" s="6" t="n">
        <v>3</v>
      </c>
      <c r="I34" s="6" t="s">
        <v>471</v>
      </c>
      <c r="J34" s="6" t="n">
        <v>8</v>
      </c>
      <c r="K34" s="6" t="n">
        <v>240</v>
      </c>
      <c r="L34" s="6" t="s">
        <v>284</v>
      </c>
      <c r="M34" s="7" t="s">
        <v>472</v>
      </c>
      <c r="N34" s="6" t="s">
        <v>74</v>
      </c>
      <c r="O34" s="6" t="s">
        <v>384</v>
      </c>
      <c r="P34" s="6" t="s">
        <v>385</v>
      </c>
      <c r="Q34" s="6" t="s">
        <v>274</v>
      </c>
      <c r="R34" s="6" t="s">
        <v>275</v>
      </c>
      <c r="S34" s="6" t="s">
        <v>473</v>
      </c>
      <c r="T34" s="6" t="s">
        <v>268</v>
      </c>
      <c r="U34" s="6" t="s">
        <v>379</v>
      </c>
      <c r="V34" s="6" t="s">
        <v>268</v>
      </c>
    </row>
    <row r="35" customFormat="false" ht="33.75" hidden="false" customHeight="true" outlineLevel="0" collapsed="false">
      <c r="A35" s="6" t="n">
        <v>1034</v>
      </c>
      <c r="B35" s="6" t="s">
        <v>146</v>
      </c>
      <c r="C35" s="6" t="n">
        <v>2</v>
      </c>
      <c r="D35" s="6" t="s">
        <v>474</v>
      </c>
      <c r="E35" s="6" t="s">
        <v>475</v>
      </c>
      <c r="F35" s="6" t="s">
        <v>476</v>
      </c>
      <c r="G35" s="6" t="s">
        <v>268</v>
      </c>
      <c r="H35" s="6" t="n">
        <v>4</v>
      </c>
      <c r="I35" s="6" t="s">
        <v>382</v>
      </c>
      <c r="J35" s="6" t="n">
        <v>8.5</v>
      </c>
      <c r="K35" s="6" t="n">
        <v>150</v>
      </c>
      <c r="L35" s="6" t="s">
        <v>455</v>
      </c>
      <c r="M35" s="7" t="s">
        <v>477</v>
      </c>
      <c r="N35" s="6" t="s">
        <v>74</v>
      </c>
      <c r="O35" s="6" t="s">
        <v>478</v>
      </c>
      <c r="P35" s="6" t="s">
        <v>479</v>
      </c>
      <c r="Q35" s="6" t="s">
        <v>274</v>
      </c>
      <c r="R35" s="6" t="s">
        <v>275</v>
      </c>
      <c r="S35" s="6" t="s">
        <v>480</v>
      </c>
      <c r="T35" s="6" t="s">
        <v>279</v>
      </c>
      <c r="U35" s="6" t="s">
        <v>481</v>
      </c>
      <c r="V35" s="6" t="s">
        <v>268</v>
      </c>
    </row>
    <row r="36" customFormat="false" ht="33.75" hidden="false" customHeight="true" outlineLevel="0" collapsed="false">
      <c r="A36" s="6" t="n">
        <v>1035</v>
      </c>
      <c r="B36" s="6" t="s">
        <v>146</v>
      </c>
      <c r="C36" s="6" t="n">
        <v>3</v>
      </c>
      <c r="D36" s="6" t="s">
        <v>402</v>
      </c>
      <c r="E36" s="6" t="s">
        <v>380</v>
      </c>
      <c r="F36" s="6" t="s">
        <v>405</v>
      </c>
      <c r="G36" s="6" t="s">
        <v>279</v>
      </c>
      <c r="H36" s="6" t="n">
        <v>4</v>
      </c>
      <c r="I36" s="6" t="s">
        <v>310</v>
      </c>
      <c r="J36" s="6" t="n">
        <v>9</v>
      </c>
      <c r="K36" s="6" t="n">
        <v>90</v>
      </c>
      <c r="L36" s="6" t="s">
        <v>270</v>
      </c>
      <c r="M36" s="7" t="s">
        <v>482</v>
      </c>
      <c r="N36" s="6" t="s">
        <v>74</v>
      </c>
      <c r="O36" s="6" t="s">
        <v>401</v>
      </c>
      <c r="P36" s="6" t="s">
        <v>385</v>
      </c>
      <c r="Q36" s="6" t="s">
        <v>275</v>
      </c>
      <c r="R36" s="6" t="s">
        <v>275</v>
      </c>
      <c r="S36" s="6" t="s">
        <v>398</v>
      </c>
      <c r="T36" s="6" t="s">
        <v>279</v>
      </c>
      <c r="U36" s="6" t="s">
        <v>403</v>
      </c>
      <c r="V36" s="6" t="s">
        <v>318</v>
      </c>
    </row>
    <row r="37" customFormat="false" ht="33.75" hidden="false" customHeight="true" outlineLevel="0" collapsed="false">
      <c r="A37" s="6" t="n">
        <v>1036</v>
      </c>
      <c r="B37" s="6" t="s">
        <v>146</v>
      </c>
      <c r="C37" s="6" t="n">
        <v>4</v>
      </c>
      <c r="D37" s="6" t="s">
        <v>483</v>
      </c>
      <c r="E37" s="6" t="s">
        <v>484</v>
      </c>
      <c r="F37" s="6" t="s">
        <v>485</v>
      </c>
      <c r="G37" s="6" t="s">
        <v>279</v>
      </c>
      <c r="H37" s="6" t="n">
        <v>3</v>
      </c>
      <c r="I37" s="6" t="s">
        <v>301</v>
      </c>
      <c r="J37" s="6" t="n">
        <v>9</v>
      </c>
      <c r="K37" s="6" t="n">
        <v>75</v>
      </c>
      <c r="L37" s="6" t="s">
        <v>302</v>
      </c>
      <c r="M37" s="7" t="s">
        <v>486</v>
      </c>
      <c r="N37" s="6" t="s">
        <v>74</v>
      </c>
      <c r="O37" s="6" t="s">
        <v>487</v>
      </c>
      <c r="P37" s="6" t="s">
        <v>376</v>
      </c>
      <c r="Q37" s="6" t="s">
        <v>275</v>
      </c>
      <c r="R37" s="6" t="s">
        <v>275</v>
      </c>
      <c r="S37" s="6" t="s">
        <v>488</v>
      </c>
      <c r="T37" s="6" t="s">
        <v>318</v>
      </c>
      <c r="U37" s="6" t="s">
        <v>489</v>
      </c>
      <c r="V37" s="6" t="s">
        <v>318</v>
      </c>
    </row>
    <row r="38" customFormat="false" ht="33.75" hidden="false" customHeight="true" outlineLevel="0" collapsed="false">
      <c r="A38" s="6" t="n">
        <v>1037</v>
      </c>
      <c r="B38" s="6" t="s">
        <v>146</v>
      </c>
      <c r="C38" s="6" t="n">
        <v>5</v>
      </c>
      <c r="D38" s="6" t="s">
        <v>387</v>
      </c>
      <c r="E38" s="6" t="s">
        <v>475</v>
      </c>
      <c r="F38" s="6" t="s">
        <v>490</v>
      </c>
      <c r="G38" s="6" t="s">
        <v>279</v>
      </c>
      <c r="H38" s="6" t="n">
        <v>3</v>
      </c>
      <c r="I38" s="6" t="s">
        <v>301</v>
      </c>
      <c r="J38" s="6" t="n">
        <v>9</v>
      </c>
      <c r="K38" s="6" t="n">
        <v>75</v>
      </c>
      <c r="L38" s="6" t="s">
        <v>302</v>
      </c>
      <c r="M38" s="7" t="s">
        <v>491</v>
      </c>
      <c r="N38" s="6" t="s">
        <v>74</v>
      </c>
      <c r="O38" s="6" t="s">
        <v>384</v>
      </c>
      <c r="P38" s="6" t="s">
        <v>479</v>
      </c>
      <c r="Q38" s="6" t="s">
        <v>275</v>
      </c>
      <c r="R38" s="6" t="s">
        <v>275</v>
      </c>
      <c r="S38" s="6" t="s">
        <v>492</v>
      </c>
      <c r="T38" s="6" t="s">
        <v>300</v>
      </c>
      <c r="U38" s="6" t="s">
        <v>379</v>
      </c>
      <c r="V38" s="6" t="s">
        <v>268</v>
      </c>
    </row>
    <row r="39" customFormat="false" ht="33.75" hidden="false" customHeight="true" outlineLevel="0" collapsed="false">
      <c r="A39" s="6" t="n">
        <v>1038</v>
      </c>
      <c r="B39" s="6" t="s">
        <v>146</v>
      </c>
      <c r="C39" s="6" t="n">
        <v>6</v>
      </c>
      <c r="D39" s="6" t="s">
        <v>493</v>
      </c>
      <c r="E39" s="6" t="s">
        <v>406</v>
      </c>
      <c r="F39" s="6" t="s">
        <v>405</v>
      </c>
      <c r="G39" s="6" t="s">
        <v>279</v>
      </c>
      <c r="H39" s="6" t="n">
        <v>4</v>
      </c>
      <c r="I39" s="6" t="s">
        <v>301</v>
      </c>
      <c r="J39" s="6" t="n">
        <v>9.5</v>
      </c>
      <c r="K39" s="6" t="n">
        <v>60</v>
      </c>
      <c r="L39" s="6" t="s">
        <v>407</v>
      </c>
      <c r="M39" s="7" t="s">
        <v>494</v>
      </c>
      <c r="N39" s="6" t="s">
        <v>74</v>
      </c>
      <c r="O39" s="6" t="s">
        <v>409</v>
      </c>
      <c r="P39" s="6" t="s">
        <v>410</v>
      </c>
      <c r="Q39" s="6" t="s">
        <v>275</v>
      </c>
      <c r="R39" s="6" t="s">
        <v>275</v>
      </c>
      <c r="S39" s="6" t="s">
        <v>495</v>
      </c>
      <c r="T39" s="6" t="s">
        <v>279</v>
      </c>
      <c r="U39" s="6" t="s">
        <v>496</v>
      </c>
      <c r="V39" s="6" t="s">
        <v>279</v>
      </c>
    </row>
    <row r="40" customFormat="false" ht="33.75" hidden="false" customHeight="true" outlineLevel="0" collapsed="false">
      <c r="A40" s="6" t="n">
        <v>1039</v>
      </c>
      <c r="B40" s="6" t="s">
        <v>146</v>
      </c>
      <c r="C40" s="6" t="n">
        <v>7</v>
      </c>
      <c r="D40" s="6" t="s">
        <v>497</v>
      </c>
      <c r="E40" s="6" t="s">
        <v>498</v>
      </c>
      <c r="F40" s="6" t="s">
        <v>499</v>
      </c>
      <c r="G40" s="6" t="s">
        <v>318</v>
      </c>
      <c r="H40" s="6" t="n">
        <v>3</v>
      </c>
      <c r="I40" s="6" t="s">
        <v>500</v>
      </c>
      <c r="J40" s="6" t="n">
        <v>9</v>
      </c>
      <c r="K40" s="6" t="n">
        <v>60</v>
      </c>
      <c r="L40" s="6" t="s">
        <v>302</v>
      </c>
      <c r="M40" s="7" t="s">
        <v>501</v>
      </c>
      <c r="N40" s="6" t="s">
        <v>74</v>
      </c>
      <c r="O40" s="6" t="s">
        <v>502</v>
      </c>
      <c r="P40" s="6" t="s">
        <v>503</v>
      </c>
      <c r="Q40" s="6" t="s">
        <v>275</v>
      </c>
      <c r="R40" s="6" t="s">
        <v>275</v>
      </c>
      <c r="S40" s="6" t="s">
        <v>504</v>
      </c>
      <c r="T40" s="6" t="s">
        <v>279</v>
      </c>
      <c r="U40" s="6" t="s">
        <v>505</v>
      </c>
      <c r="V40" s="6" t="s">
        <v>318</v>
      </c>
    </row>
    <row r="41" customFormat="false" ht="33.75" hidden="false" customHeight="true" outlineLevel="0" collapsed="false">
      <c r="A41" s="6" t="n">
        <v>1040</v>
      </c>
      <c r="B41" s="6" t="s">
        <v>151</v>
      </c>
      <c r="C41" s="6" t="n">
        <v>1</v>
      </c>
      <c r="D41" s="6" t="s">
        <v>265</v>
      </c>
      <c r="E41" s="6" t="s">
        <v>266</v>
      </c>
      <c r="F41" s="6" t="s">
        <v>267</v>
      </c>
      <c r="G41" s="6" t="s">
        <v>268</v>
      </c>
      <c r="H41" s="6" t="n">
        <v>4</v>
      </c>
      <c r="I41" s="6" t="s">
        <v>283</v>
      </c>
      <c r="J41" s="6" t="n">
        <v>8</v>
      </c>
      <c r="K41" s="6" t="n">
        <v>150</v>
      </c>
      <c r="L41" s="6" t="s">
        <v>270</v>
      </c>
      <c r="M41" s="7" t="s">
        <v>271</v>
      </c>
      <c r="N41" s="6" t="s">
        <v>81</v>
      </c>
      <c r="O41" s="6" t="s">
        <v>272</v>
      </c>
      <c r="P41" s="6" t="s">
        <v>273</v>
      </c>
      <c r="Q41" s="6" t="s">
        <v>274</v>
      </c>
      <c r="R41" s="6" t="s">
        <v>275</v>
      </c>
      <c r="S41" s="6" t="s">
        <v>276</v>
      </c>
      <c r="T41" s="6" t="s">
        <v>277</v>
      </c>
      <c r="U41" s="6" t="s">
        <v>278</v>
      </c>
      <c r="V41" s="6" t="s">
        <v>279</v>
      </c>
    </row>
    <row r="42" customFormat="false" ht="33.75" hidden="false" customHeight="true" outlineLevel="0" collapsed="false">
      <c r="A42" s="6" t="n">
        <v>1041</v>
      </c>
      <c r="B42" s="6" t="s">
        <v>151</v>
      </c>
      <c r="C42" s="6" t="n">
        <v>2</v>
      </c>
      <c r="D42" s="6" t="s">
        <v>331</v>
      </c>
      <c r="E42" s="6" t="s">
        <v>324</v>
      </c>
      <c r="F42" s="6" t="s">
        <v>332</v>
      </c>
      <c r="G42" s="6" t="s">
        <v>318</v>
      </c>
      <c r="H42" s="6" t="n">
        <v>4</v>
      </c>
      <c r="I42" s="6" t="s">
        <v>283</v>
      </c>
      <c r="J42" s="6" t="n">
        <v>8.5</v>
      </c>
      <c r="K42" s="6" t="n">
        <v>150</v>
      </c>
      <c r="L42" s="6" t="s">
        <v>334</v>
      </c>
      <c r="M42" s="7" t="s">
        <v>506</v>
      </c>
      <c r="N42" s="6" t="s">
        <v>81</v>
      </c>
      <c r="O42" s="6" t="s">
        <v>336</v>
      </c>
      <c r="P42" s="6" t="s">
        <v>328</v>
      </c>
      <c r="Q42" s="6" t="s">
        <v>274</v>
      </c>
      <c r="R42" s="6" t="s">
        <v>275</v>
      </c>
      <c r="S42" s="6" t="s">
        <v>337</v>
      </c>
      <c r="T42" s="6" t="s">
        <v>279</v>
      </c>
      <c r="U42" s="6" t="s">
        <v>338</v>
      </c>
      <c r="V42" s="6" t="s">
        <v>279</v>
      </c>
    </row>
    <row r="43" customFormat="false" ht="33.75" hidden="false" customHeight="true" outlineLevel="0" collapsed="false">
      <c r="A43" s="6" t="n">
        <v>1042</v>
      </c>
      <c r="B43" s="6" t="s">
        <v>151</v>
      </c>
      <c r="C43" s="6" t="n">
        <v>3</v>
      </c>
      <c r="D43" s="6" t="s">
        <v>290</v>
      </c>
      <c r="E43" s="6" t="s">
        <v>291</v>
      </c>
      <c r="F43" s="6" t="s">
        <v>267</v>
      </c>
      <c r="G43" s="6" t="s">
        <v>277</v>
      </c>
      <c r="H43" s="6" t="n">
        <v>4</v>
      </c>
      <c r="I43" s="6" t="s">
        <v>292</v>
      </c>
      <c r="J43" s="6" t="n">
        <v>8.5</v>
      </c>
      <c r="K43" s="6" t="n">
        <v>120</v>
      </c>
      <c r="L43" s="6" t="s">
        <v>270</v>
      </c>
      <c r="M43" s="7" t="s">
        <v>293</v>
      </c>
      <c r="N43" s="6" t="s">
        <v>81</v>
      </c>
      <c r="O43" s="6" t="s">
        <v>294</v>
      </c>
      <c r="P43" s="6" t="s">
        <v>273</v>
      </c>
      <c r="Q43" s="6" t="s">
        <v>274</v>
      </c>
      <c r="R43" s="6" t="s">
        <v>275</v>
      </c>
      <c r="S43" s="6" t="s">
        <v>295</v>
      </c>
      <c r="T43" s="6" t="s">
        <v>268</v>
      </c>
      <c r="U43" s="6" t="s">
        <v>296</v>
      </c>
      <c r="V43" s="6" t="s">
        <v>279</v>
      </c>
    </row>
    <row r="44" customFormat="false" ht="33.75" hidden="false" customHeight="true" outlineLevel="0" collapsed="false">
      <c r="A44" s="6" t="n">
        <v>1043</v>
      </c>
      <c r="B44" s="6" t="s">
        <v>151</v>
      </c>
      <c r="C44" s="6" t="n">
        <v>4</v>
      </c>
      <c r="D44" s="6" t="s">
        <v>323</v>
      </c>
      <c r="E44" s="6" t="s">
        <v>324</v>
      </c>
      <c r="F44" s="6" t="s">
        <v>325</v>
      </c>
      <c r="G44" s="6" t="s">
        <v>268</v>
      </c>
      <c r="H44" s="6" t="n">
        <v>4</v>
      </c>
      <c r="I44" s="6" t="s">
        <v>382</v>
      </c>
      <c r="J44" s="6" t="n">
        <v>8.5</v>
      </c>
      <c r="K44" s="6" t="n">
        <v>120</v>
      </c>
      <c r="L44" s="6" t="s">
        <v>320</v>
      </c>
      <c r="M44" s="7" t="s">
        <v>326</v>
      </c>
      <c r="N44" s="6" t="s">
        <v>81</v>
      </c>
      <c r="O44" s="6" t="s">
        <v>327</v>
      </c>
      <c r="P44" s="6" t="s">
        <v>328</v>
      </c>
      <c r="Q44" s="6" t="s">
        <v>274</v>
      </c>
      <c r="R44" s="6" t="s">
        <v>275</v>
      </c>
      <c r="S44" s="6" t="s">
        <v>329</v>
      </c>
      <c r="T44" s="6" t="s">
        <v>279</v>
      </c>
      <c r="U44" s="6" t="s">
        <v>330</v>
      </c>
      <c r="V44" s="6" t="s">
        <v>277</v>
      </c>
    </row>
    <row r="45" customFormat="false" ht="33.75" hidden="false" customHeight="true" outlineLevel="0" collapsed="false">
      <c r="A45" s="6" t="n">
        <v>1044</v>
      </c>
      <c r="B45" s="6" t="s">
        <v>151</v>
      </c>
      <c r="C45" s="6" t="n">
        <v>5</v>
      </c>
      <c r="D45" s="6" t="s">
        <v>507</v>
      </c>
      <c r="E45" s="6" t="s">
        <v>425</v>
      </c>
      <c r="F45" s="6" t="s">
        <v>281</v>
      </c>
      <c r="G45" s="6" t="s">
        <v>300</v>
      </c>
      <c r="H45" s="6" t="n">
        <v>3</v>
      </c>
      <c r="I45" s="6" t="s">
        <v>301</v>
      </c>
      <c r="J45" s="6" t="n">
        <v>9</v>
      </c>
      <c r="K45" s="6" t="n">
        <v>60</v>
      </c>
      <c r="L45" s="6" t="s">
        <v>426</v>
      </c>
      <c r="M45" s="7" t="s">
        <v>508</v>
      </c>
      <c r="N45" s="6" t="s">
        <v>81</v>
      </c>
      <c r="O45" s="6" t="s">
        <v>428</v>
      </c>
      <c r="P45" s="6" t="s">
        <v>273</v>
      </c>
      <c r="Q45" s="6" t="s">
        <v>275</v>
      </c>
      <c r="R45" s="6" t="s">
        <v>275</v>
      </c>
      <c r="S45" s="6" t="s">
        <v>424</v>
      </c>
      <c r="T45" s="6" t="s">
        <v>279</v>
      </c>
      <c r="U45" s="6" t="s">
        <v>430</v>
      </c>
      <c r="V45" s="6" t="s">
        <v>277</v>
      </c>
    </row>
    <row r="46" customFormat="false" ht="33.75" hidden="false" customHeight="true" outlineLevel="0" collapsed="false">
      <c r="A46" s="6" t="n">
        <v>1045</v>
      </c>
      <c r="B46" s="6" t="s">
        <v>151</v>
      </c>
      <c r="C46" s="6" t="n">
        <v>6</v>
      </c>
      <c r="D46" s="6" t="s">
        <v>351</v>
      </c>
      <c r="E46" s="6" t="s">
        <v>324</v>
      </c>
      <c r="F46" s="6" t="s">
        <v>352</v>
      </c>
      <c r="G46" s="6" t="s">
        <v>300</v>
      </c>
      <c r="H46" s="6" t="n">
        <v>3</v>
      </c>
      <c r="I46" s="6" t="s">
        <v>301</v>
      </c>
      <c r="J46" s="6" t="n">
        <v>9</v>
      </c>
      <c r="K46" s="6" t="n">
        <v>60</v>
      </c>
      <c r="L46" s="6" t="s">
        <v>302</v>
      </c>
      <c r="M46" s="7" t="s">
        <v>353</v>
      </c>
      <c r="N46" s="6" t="s">
        <v>81</v>
      </c>
      <c r="O46" s="6" t="s">
        <v>354</v>
      </c>
      <c r="P46" s="6" t="s">
        <v>328</v>
      </c>
      <c r="Q46" s="6" t="s">
        <v>275</v>
      </c>
      <c r="R46" s="6" t="s">
        <v>275</v>
      </c>
      <c r="S46" s="6" t="s">
        <v>355</v>
      </c>
      <c r="T46" s="6" t="s">
        <v>277</v>
      </c>
      <c r="U46" s="6" t="s">
        <v>356</v>
      </c>
      <c r="V46" s="6" t="s">
        <v>300</v>
      </c>
    </row>
    <row r="47" customFormat="false" ht="33.75" hidden="false" customHeight="true" outlineLevel="0" collapsed="false">
      <c r="A47" s="6" t="n">
        <v>1046</v>
      </c>
      <c r="B47" s="6" t="s">
        <v>151</v>
      </c>
      <c r="C47" s="6" t="n">
        <v>7</v>
      </c>
      <c r="D47" s="6" t="s">
        <v>355</v>
      </c>
      <c r="E47" s="6" t="s">
        <v>324</v>
      </c>
      <c r="F47" s="6" t="s">
        <v>509</v>
      </c>
      <c r="G47" s="6" t="s">
        <v>277</v>
      </c>
      <c r="H47" s="6" t="n">
        <v>3</v>
      </c>
      <c r="I47" s="6" t="s">
        <v>301</v>
      </c>
      <c r="J47" s="6" t="n">
        <v>9</v>
      </c>
      <c r="K47" s="6" t="n">
        <v>75</v>
      </c>
      <c r="L47" s="6" t="s">
        <v>270</v>
      </c>
      <c r="M47" s="7" t="s">
        <v>510</v>
      </c>
      <c r="N47" s="6" t="s">
        <v>81</v>
      </c>
      <c r="O47" s="6" t="s">
        <v>354</v>
      </c>
      <c r="P47" s="6" t="s">
        <v>328</v>
      </c>
      <c r="Q47" s="6" t="s">
        <v>275</v>
      </c>
      <c r="R47" s="6" t="s">
        <v>275</v>
      </c>
      <c r="S47" s="6" t="s">
        <v>351</v>
      </c>
      <c r="T47" s="6" t="s">
        <v>300</v>
      </c>
      <c r="U47" s="6" t="s">
        <v>511</v>
      </c>
      <c r="V47" s="6" t="s">
        <v>279</v>
      </c>
    </row>
    <row r="48" customFormat="false" ht="33.75" hidden="false" customHeight="true" outlineLevel="0" collapsed="false">
      <c r="A48" s="6" t="n">
        <v>1047</v>
      </c>
      <c r="B48" s="6" t="s">
        <v>156</v>
      </c>
      <c r="C48" s="6" t="n">
        <v>1</v>
      </c>
      <c r="D48" s="6" t="s">
        <v>512</v>
      </c>
      <c r="E48" s="6" t="s">
        <v>281</v>
      </c>
      <c r="F48" s="6" t="s">
        <v>282</v>
      </c>
      <c r="G48" s="6" t="s">
        <v>277</v>
      </c>
      <c r="H48" s="6" t="n">
        <v>4</v>
      </c>
      <c r="I48" s="6" t="s">
        <v>382</v>
      </c>
      <c r="J48" s="6" t="n">
        <v>8</v>
      </c>
      <c r="K48" s="6" t="n">
        <v>150</v>
      </c>
      <c r="L48" s="6" t="s">
        <v>334</v>
      </c>
      <c r="M48" s="7" t="s">
        <v>513</v>
      </c>
      <c r="N48" s="6" t="s">
        <v>81</v>
      </c>
      <c r="O48" s="6" t="s">
        <v>286</v>
      </c>
      <c r="P48" s="6" t="s">
        <v>287</v>
      </c>
      <c r="Q48" s="6" t="s">
        <v>274</v>
      </c>
      <c r="R48" s="6" t="s">
        <v>275</v>
      </c>
      <c r="S48" s="6" t="s">
        <v>288</v>
      </c>
      <c r="T48" s="6" t="s">
        <v>277</v>
      </c>
      <c r="U48" s="6" t="s">
        <v>289</v>
      </c>
      <c r="V48" s="6" t="s">
        <v>279</v>
      </c>
    </row>
    <row r="49" customFormat="false" ht="33.75" hidden="false" customHeight="true" outlineLevel="0" collapsed="false">
      <c r="A49" s="6" t="n">
        <v>1048</v>
      </c>
      <c r="B49" s="6" t="s">
        <v>156</v>
      </c>
      <c r="C49" s="6" t="n">
        <v>2</v>
      </c>
      <c r="D49" s="6" t="s">
        <v>305</v>
      </c>
      <c r="E49" s="6" t="s">
        <v>298</v>
      </c>
      <c r="F49" s="6" t="s">
        <v>431</v>
      </c>
      <c r="G49" s="6" t="s">
        <v>277</v>
      </c>
      <c r="H49" s="6" t="n">
        <v>4</v>
      </c>
      <c r="I49" s="6" t="s">
        <v>301</v>
      </c>
      <c r="J49" s="6" t="n">
        <v>9</v>
      </c>
      <c r="K49" s="6" t="n">
        <v>60</v>
      </c>
      <c r="L49" s="6" t="s">
        <v>302</v>
      </c>
      <c r="M49" s="7" t="s">
        <v>514</v>
      </c>
      <c r="N49" s="6" t="s">
        <v>81</v>
      </c>
      <c r="O49" s="6" t="s">
        <v>304</v>
      </c>
      <c r="P49" s="6" t="s">
        <v>287</v>
      </c>
      <c r="Q49" s="6" t="s">
        <v>275</v>
      </c>
      <c r="R49" s="6" t="s">
        <v>275</v>
      </c>
      <c r="S49" s="6" t="s">
        <v>297</v>
      </c>
      <c r="T49" s="6" t="s">
        <v>300</v>
      </c>
      <c r="U49" s="6" t="s">
        <v>306</v>
      </c>
      <c r="V49" s="6" t="s">
        <v>279</v>
      </c>
    </row>
    <row r="50" customFormat="false" ht="33.75" hidden="false" customHeight="true" outlineLevel="0" collapsed="false">
      <c r="A50" s="6" t="n">
        <v>1049</v>
      </c>
      <c r="B50" s="6" t="s">
        <v>156</v>
      </c>
      <c r="C50" s="6" t="n">
        <v>3</v>
      </c>
      <c r="D50" s="6" t="s">
        <v>349</v>
      </c>
      <c r="E50" s="6" t="s">
        <v>344</v>
      </c>
      <c r="F50" s="6" t="s">
        <v>448</v>
      </c>
      <c r="G50" s="6" t="s">
        <v>279</v>
      </c>
      <c r="H50" s="6" t="n">
        <v>3</v>
      </c>
      <c r="I50" s="6" t="s">
        <v>346</v>
      </c>
      <c r="J50" s="6" t="n">
        <v>9</v>
      </c>
      <c r="K50" s="6" t="n">
        <v>60</v>
      </c>
      <c r="L50" s="6" t="s">
        <v>302</v>
      </c>
      <c r="M50" s="7" t="s">
        <v>449</v>
      </c>
      <c r="N50" s="6" t="s">
        <v>81</v>
      </c>
      <c r="O50" s="6" t="s">
        <v>348</v>
      </c>
      <c r="P50" s="6" t="s">
        <v>287</v>
      </c>
      <c r="Q50" s="6" t="s">
        <v>275</v>
      </c>
      <c r="R50" s="6" t="s">
        <v>275</v>
      </c>
      <c r="S50" s="6" t="s">
        <v>450</v>
      </c>
      <c r="T50" s="6" t="s">
        <v>277</v>
      </c>
      <c r="U50" s="6" t="s">
        <v>451</v>
      </c>
      <c r="V50" s="6" t="s">
        <v>300</v>
      </c>
    </row>
    <row r="51" customFormat="false" ht="33.75" hidden="false" customHeight="true" outlineLevel="0" collapsed="false">
      <c r="A51" s="6" t="n">
        <v>1050</v>
      </c>
      <c r="B51" s="6" t="s">
        <v>156</v>
      </c>
      <c r="C51" s="6" t="n">
        <v>4</v>
      </c>
      <c r="D51" s="6" t="s">
        <v>315</v>
      </c>
      <c r="E51" s="6" t="s">
        <v>308</v>
      </c>
      <c r="F51" s="6" t="s">
        <v>436</v>
      </c>
      <c r="G51" s="6" t="s">
        <v>268</v>
      </c>
      <c r="H51" s="6" t="n">
        <v>3</v>
      </c>
      <c r="I51" s="6" t="s">
        <v>292</v>
      </c>
      <c r="J51" s="6" t="n">
        <v>8.5</v>
      </c>
      <c r="K51" s="6" t="n">
        <v>90</v>
      </c>
      <c r="L51" s="6" t="s">
        <v>334</v>
      </c>
      <c r="M51" s="7" t="s">
        <v>515</v>
      </c>
      <c r="N51" s="6" t="s">
        <v>81</v>
      </c>
      <c r="O51" s="6" t="s">
        <v>438</v>
      </c>
      <c r="P51" s="6" t="s">
        <v>313</v>
      </c>
      <c r="Q51" s="6" t="s">
        <v>275</v>
      </c>
      <c r="R51" s="6" t="s">
        <v>275</v>
      </c>
      <c r="S51" s="6" t="s">
        <v>307</v>
      </c>
      <c r="T51" s="6" t="s">
        <v>300</v>
      </c>
      <c r="U51" s="6" t="s">
        <v>314</v>
      </c>
      <c r="V51" s="6" t="s">
        <v>277</v>
      </c>
    </row>
    <row r="52" customFormat="false" ht="33.75" hidden="false" customHeight="true" outlineLevel="0" collapsed="false">
      <c r="A52" s="6" t="n">
        <v>1051</v>
      </c>
      <c r="B52" s="6" t="s">
        <v>156</v>
      </c>
      <c r="C52" s="6" t="n">
        <v>5</v>
      </c>
      <c r="D52" s="6" t="s">
        <v>516</v>
      </c>
      <c r="E52" s="6" t="s">
        <v>517</v>
      </c>
      <c r="F52" s="6" t="s">
        <v>518</v>
      </c>
      <c r="G52" s="6" t="s">
        <v>268</v>
      </c>
      <c r="H52" s="6" t="n">
        <v>3</v>
      </c>
      <c r="I52" s="6" t="s">
        <v>292</v>
      </c>
      <c r="J52" s="6" t="n">
        <v>8.5</v>
      </c>
      <c r="K52" s="6" t="n">
        <v>90</v>
      </c>
      <c r="L52" s="6" t="s">
        <v>302</v>
      </c>
      <c r="M52" s="7" t="s">
        <v>519</v>
      </c>
      <c r="N52" s="6" t="s">
        <v>81</v>
      </c>
      <c r="O52" s="6" t="s">
        <v>520</v>
      </c>
      <c r="P52" s="6" t="s">
        <v>362</v>
      </c>
      <c r="Q52" s="6" t="s">
        <v>275</v>
      </c>
      <c r="R52" s="6" t="s">
        <v>275</v>
      </c>
      <c r="S52" s="6" t="s">
        <v>521</v>
      </c>
      <c r="T52" s="6" t="s">
        <v>268</v>
      </c>
      <c r="U52" s="6" t="s">
        <v>522</v>
      </c>
      <c r="V52" s="6" t="s">
        <v>300</v>
      </c>
    </row>
    <row r="53" customFormat="false" ht="33.75" hidden="false" customHeight="true" outlineLevel="0" collapsed="false">
      <c r="A53" s="6" t="n">
        <v>1052</v>
      </c>
      <c r="B53" s="6" t="s">
        <v>156</v>
      </c>
      <c r="C53" s="6" t="n">
        <v>6</v>
      </c>
      <c r="D53" s="6" t="s">
        <v>434</v>
      </c>
      <c r="E53" s="6" t="s">
        <v>435</v>
      </c>
      <c r="F53" s="6" t="s">
        <v>436</v>
      </c>
      <c r="G53" s="6" t="s">
        <v>300</v>
      </c>
      <c r="H53" s="6" t="n">
        <v>3</v>
      </c>
      <c r="I53" s="6" t="s">
        <v>301</v>
      </c>
      <c r="J53" s="6" t="n">
        <v>9.5</v>
      </c>
      <c r="K53" s="6" t="n">
        <v>60</v>
      </c>
      <c r="L53" s="6" t="s">
        <v>302</v>
      </c>
      <c r="M53" s="7" t="s">
        <v>437</v>
      </c>
      <c r="N53" s="6" t="s">
        <v>81</v>
      </c>
      <c r="O53" s="6" t="s">
        <v>438</v>
      </c>
      <c r="P53" s="6" t="s">
        <v>313</v>
      </c>
      <c r="Q53" s="6" t="s">
        <v>275</v>
      </c>
      <c r="R53" s="6" t="s">
        <v>275</v>
      </c>
      <c r="S53" s="6" t="s">
        <v>439</v>
      </c>
      <c r="T53" s="6" t="s">
        <v>300</v>
      </c>
      <c r="U53" s="6" t="s">
        <v>440</v>
      </c>
      <c r="V53" s="6" t="s">
        <v>318</v>
      </c>
    </row>
    <row r="54" customFormat="false" ht="33.75" hidden="false" customHeight="true" outlineLevel="0" collapsed="false">
      <c r="A54" s="6" t="n">
        <v>1053</v>
      </c>
      <c r="B54" s="6" t="s">
        <v>156</v>
      </c>
      <c r="C54" s="6" t="n">
        <v>7</v>
      </c>
      <c r="D54" s="6" t="s">
        <v>357</v>
      </c>
      <c r="E54" s="6" t="s">
        <v>358</v>
      </c>
      <c r="F54" s="6" t="s">
        <v>359</v>
      </c>
      <c r="G54" s="6" t="s">
        <v>277</v>
      </c>
      <c r="H54" s="6" t="n">
        <v>3</v>
      </c>
      <c r="I54" s="6" t="s">
        <v>310</v>
      </c>
      <c r="J54" s="6" t="n">
        <v>9.5</v>
      </c>
      <c r="K54" s="6" t="n">
        <v>60</v>
      </c>
      <c r="L54" s="6" t="s">
        <v>334</v>
      </c>
      <c r="M54" s="7" t="s">
        <v>360</v>
      </c>
      <c r="N54" s="6" t="s">
        <v>81</v>
      </c>
      <c r="O54" s="6" t="s">
        <v>361</v>
      </c>
      <c r="P54" s="6" t="s">
        <v>362</v>
      </c>
      <c r="Q54" s="6" t="s">
        <v>275</v>
      </c>
      <c r="R54" s="6" t="s">
        <v>275</v>
      </c>
      <c r="S54" s="6" t="s">
        <v>363</v>
      </c>
      <c r="T54" s="6" t="s">
        <v>300</v>
      </c>
      <c r="U54" s="6" t="s">
        <v>364</v>
      </c>
      <c r="V54" s="6" t="s">
        <v>268</v>
      </c>
    </row>
    <row r="55" customFormat="false" ht="33.75" hidden="false" customHeight="true" outlineLevel="0" collapsed="false">
      <c r="A55" s="6" t="n">
        <v>1054</v>
      </c>
      <c r="B55" s="6" t="s">
        <v>161</v>
      </c>
      <c r="C55" s="6" t="n">
        <v>1</v>
      </c>
      <c r="D55" s="6" t="s">
        <v>371</v>
      </c>
      <c r="E55" s="6" t="s">
        <v>372</v>
      </c>
      <c r="F55" s="6" t="s">
        <v>373</v>
      </c>
      <c r="G55" s="6" t="s">
        <v>268</v>
      </c>
      <c r="H55" s="6" t="n">
        <v>5</v>
      </c>
      <c r="I55" s="6" t="s">
        <v>283</v>
      </c>
      <c r="J55" s="6" t="n">
        <v>8.5</v>
      </c>
      <c r="K55" s="6" t="n">
        <v>180</v>
      </c>
      <c r="L55" s="6" t="s">
        <v>270</v>
      </c>
      <c r="M55" s="7" t="s">
        <v>523</v>
      </c>
      <c r="N55" s="6" t="s">
        <v>81</v>
      </c>
      <c r="O55" s="6" t="s">
        <v>375</v>
      </c>
      <c r="P55" s="6" t="s">
        <v>376</v>
      </c>
      <c r="Q55" s="6" t="s">
        <v>274</v>
      </c>
      <c r="R55" s="6" t="s">
        <v>275</v>
      </c>
      <c r="S55" s="6" t="s">
        <v>377</v>
      </c>
      <c r="T55" s="6" t="s">
        <v>279</v>
      </c>
      <c r="U55" s="6" t="s">
        <v>378</v>
      </c>
      <c r="V55" s="6" t="s">
        <v>277</v>
      </c>
    </row>
    <row r="56" customFormat="false" ht="33.75" hidden="false" customHeight="true" outlineLevel="0" collapsed="false">
      <c r="A56" s="6" t="n">
        <v>1055</v>
      </c>
      <c r="B56" s="6" t="s">
        <v>161</v>
      </c>
      <c r="C56" s="6" t="n">
        <v>2</v>
      </c>
      <c r="D56" s="6" t="s">
        <v>379</v>
      </c>
      <c r="E56" s="6" t="s">
        <v>380</v>
      </c>
      <c r="F56" s="6" t="s">
        <v>381</v>
      </c>
      <c r="G56" s="6" t="s">
        <v>268</v>
      </c>
      <c r="H56" s="6" t="n">
        <v>4</v>
      </c>
      <c r="I56" s="6" t="s">
        <v>382</v>
      </c>
      <c r="J56" s="6" t="n">
        <v>8</v>
      </c>
      <c r="K56" s="6" t="n">
        <v>150</v>
      </c>
      <c r="L56" s="6" t="s">
        <v>270</v>
      </c>
      <c r="M56" s="7" t="s">
        <v>383</v>
      </c>
      <c r="N56" s="6" t="s">
        <v>81</v>
      </c>
      <c r="O56" s="6" t="s">
        <v>384</v>
      </c>
      <c r="P56" s="6" t="s">
        <v>385</v>
      </c>
      <c r="Q56" s="6" t="s">
        <v>274</v>
      </c>
      <c r="R56" s="6" t="s">
        <v>275</v>
      </c>
      <c r="S56" s="6" t="s">
        <v>386</v>
      </c>
      <c r="T56" s="6" t="s">
        <v>277</v>
      </c>
      <c r="U56" s="6" t="s">
        <v>387</v>
      </c>
      <c r="V56" s="6" t="s">
        <v>279</v>
      </c>
    </row>
    <row r="57" customFormat="false" ht="33.75" hidden="false" customHeight="true" outlineLevel="0" collapsed="false">
      <c r="A57" s="6" t="n">
        <v>1056</v>
      </c>
      <c r="B57" s="6" t="s">
        <v>161</v>
      </c>
      <c r="C57" s="6" t="n">
        <v>3</v>
      </c>
      <c r="D57" s="6" t="s">
        <v>388</v>
      </c>
      <c r="E57" s="6" t="s">
        <v>372</v>
      </c>
      <c r="F57" s="6" t="s">
        <v>389</v>
      </c>
      <c r="G57" s="6" t="s">
        <v>279</v>
      </c>
      <c r="H57" s="6" t="n">
        <v>4</v>
      </c>
      <c r="I57" s="6" t="s">
        <v>500</v>
      </c>
      <c r="J57" s="6" t="n">
        <v>9</v>
      </c>
      <c r="K57" s="6" t="n">
        <v>120</v>
      </c>
      <c r="L57" s="6" t="s">
        <v>320</v>
      </c>
      <c r="M57" s="7" t="s">
        <v>390</v>
      </c>
      <c r="N57" s="6" t="s">
        <v>81</v>
      </c>
      <c r="O57" s="6" t="s">
        <v>375</v>
      </c>
      <c r="P57" s="6" t="s">
        <v>376</v>
      </c>
      <c r="Q57" s="6" t="s">
        <v>274</v>
      </c>
      <c r="R57" s="6" t="s">
        <v>275</v>
      </c>
      <c r="S57" s="6" t="s">
        <v>391</v>
      </c>
      <c r="T57" s="6" t="s">
        <v>279</v>
      </c>
      <c r="U57" s="6" t="s">
        <v>371</v>
      </c>
      <c r="V57" s="6" t="s">
        <v>268</v>
      </c>
    </row>
    <row r="58" customFormat="false" ht="33.75" hidden="false" customHeight="true" outlineLevel="0" collapsed="false">
      <c r="A58" s="6" t="n">
        <v>1057</v>
      </c>
      <c r="B58" s="6" t="s">
        <v>161</v>
      </c>
      <c r="C58" s="6" t="n">
        <v>4</v>
      </c>
      <c r="D58" s="6" t="s">
        <v>402</v>
      </c>
      <c r="E58" s="6" t="s">
        <v>380</v>
      </c>
      <c r="F58" s="6" t="s">
        <v>405</v>
      </c>
      <c r="G58" s="6" t="s">
        <v>279</v>
      </c>
      <c r="H58" s="6" t="n">
        <v>4</v>
      </c>
      <c r="I58" s="6" t="s">
        <v>310</v>
      </c>
      <c r="J58" s="6" t="n">
        <v>9</v>
      </c>
      <c r="K58" s="6" t="n">
        <v>90</v>
      </c>
      <c r="L58" s="6" t="s">
        <v>270</v>
      </c>
      <c r="M58" s="7" t="s">
        <v>482</v>
      </c>
      <c r="N58" s="6" t="s">
        <v>81</v>
      </c>
      <c r="O58" s="6" t="s">
        <v>401</v>
      </c>
      <c r="P58" s="6" t="s">
        <v>385</v>
      </c>
      <c r="Q58" s="6" t="s">
        <v>275</v>
      </c>
      <c r="R58" s="6" t="s">
        <v>275</v>
      </c>
      <c r="S58" s="6" t="s">
        <v>398</v>
      </c>
      <c r="T58" s="6" t="s">
        <v>279</v>
      </c>
      <c r="U58" s="6" t="s">
        <v>403</v>
      </c>
      <c r="V58" s="6" t="s">
        <v>318</v>
      </c>
    </row>
    <row r="59" customFormat="false" ht="33.75" hidden="false" customHeight="true" outlineLevel="0" collapsed="false">
      <c r="A59" s="6" t="n">
        <v>1058</v>
      </c>
      <c r="B59" s="6" t="s">
        <v>161</v>
      </c>
      <c r="C59" s="6" t="n">
        <v>5</v>
      </c>
      <c r="D59" s="6" t="s">
        <v>483</v>
      </c>
      <c r="E59" s="6" t="s">
        <v>484</v>
      </c>
      <c r="F59" s="6" t="s">
        <v>485</v>
      </c>
      <c r="G59" s="6" t="s">
        <v>279</v>
      </c>
      <c r="H59" s="6" t="n">
        <v>3</v>
      </c>
      <c r="I59" s="6" t="s">
        <v>346</v>
      </c>
      <c r="J59" s="6" t="n">
        <v>9.5</v>
      </c>
      <c r="K59" s="6" t="n">
        <v>75</v>
      </c>
      <c r="L59" s="6" t="s">
        <v>302</v>
      </c>
      <c r="M59" s="7" t="s">
        <v>486</v>
      </c>
      <c r="N59" s="6" t="s">
        <v>81</v>
      </c>
      <c r="O59" s="6" t="s">
        <v>487</v>
      </c>
      <c r="P59" s="6" t="s">
        <v>376</v>
      </c>
      <c r="Q59" s="6" t="s">
        <v>275</v>
      </c>
      <c r="R59" s="6" t="s">
        <v>275</v>
      </c>
      <c r="S59" s="6" t="s">
        <v>488</v>
      </c>
      <c r="T59" s="6" t="s">
        <v>318</v>
      </c>
      <c r="U59" s="6" t="s">
        <v>489</v>
      </c>
      <c r="V59" s="6" t="s">
        <v>318</v>
      </c>
    </row>
    <row r="60" customFormat="false" ht="33.75" hidden="false" customHeight="true" outlineLevel="0" collapsed="false">
      <c r="A60" s="6" t="n">
        <v>1059</v>
      </c>
      <c r="B60" s="6" t="s">
        <v>161</v>
      </c>
      <c r="C60" s="6" t="n">
        <v>6</v>
      </c>
      <c r="D60" s="6" t="s">
        <v>404</v>
      </c>
      <c r="E60" s="6" t="s">
        <v>405</v>
      </c>
      <c r="F60" s="6" t="s">
        <v>406</v>
      </c>
      <c r="G60" s="6" t="s">
        <v>279</v>
      </c>
      <c r="H60" s="6" t="n">
        <v>5</v>
      </c>
      <c r="I60" s="6" t="s">
        <v>500</v>
      </c>
      <c r="J60" s="6" t="n">
        <v>9</v>
      </c>
      <c r="K60" s="6" t="n">
        <v>60</v>
      </c>
      <c r="L60" s="6" t="s">
        <v>407</v>
      </c>
      <c r="M60" s="7" t="s">
        <v>408</v>
      </c>
      <c r="N60" s="6" t="s">
        <v>81</v>
      </c>
      <c r="O60" s="6" t="s">
        <v>409</v>
      </c>
      <c r="P60" s="6" t="s">
        <v>410</v>
      </c>
      <c r="Q60" s="6" t="s">
        <v>275</v>
      </c>
      <c r="R60" s="6" t="s">
        <v>275</v>
      </c>
      <c r="S60" s="6" t="s">
        <v>411</v>
      </c>
      <c r="T60" s="6" t="s">
        <v>279</v>
      </c>
      <c r="U60" s="6" t="s">
        <v>412</v>
      </c>
      <c r="V60" s="6" t="s">
        <v>279</v>
      </c>
    </row>
    <row r="61" customFormat="false" ht="33.75" hidden="false" customHeight="true" outlineLevel="0" collapsed="false">
      <c r="A61" s="6" t="n">
        <v>1060</v>
      </c>
      <c r="B61" s="6" t="s">
        <v>161</v>
      </c>
      <c r="C61" s="6" t="n">
        <v>7</v>
      </c>
      <c r="D61" s="6" t="s">
        <v>497</v>
      </c>
      <c r="E61" s="6" t="s">
        <v>498</v>
      </c>
      <c r="F61" s="6" t="s">
        <v>499</v>
      </c>
      <c r="G61" s="6" t="s">
        <v>318</v>
      </c>
      <c r="H61" s="6" t="n">
        <v>3</v>
      </c>
      <c r="I61" s="6" t="s">
        <v>500</v>
      </c>
      <c r="J61" s="6" t="n">
        <v>9</v>
      </c>
      <c r="K61" s="6" t="n">
        <v>60</v>
      </c>
      <c r="L61" s="6" t="s">
        <v>302</v>
      </c>
      <c r="M61" s="7" t="s">
        <v>501</v>
      </c>
      <c r="N61" s="6" t="s">
        <v>81</v>
      </c>
      <c r="O61" s="6" t="s">
        <v>502</v>
      </c>
      <c r="P61" s="6" t="s">
        <v>503</v>
      </c>
      <c r="Q61" s="6" t="s">
        <v>275</v>
      </c>
      <c r="R61" s="6" t="s">
        <v>275</v>
      </c>
      <c r="S61" s="6" t="s">
        <v>504</v>
      </c>
      <c r="T61" s="6" t="s">
        <v>279</v>
      </c>
      <c r="U61" s="6" t="s">
        <v>505</v>
      </c>
      <c r="V61" s="6" t="s">
        <v>318</v>
      </c>
    </row>
    <row r="62" customFormat="false" ht="33.75" hidden="false" customHeight="true" outlineLevel="0" collapsed="false">
      <c r="A62" s="6" t="n">
        <v>1061</v>
      </c>
      <c r="B62" s="6" t="s">
        <v>166</v>
      </c>
      <c r="C62" s="6" t="n">
        <v>1</v>
      </c>
      <c r="D62" s="6" t="s">
        <v>265</v>
      </c>
      <c r="E62" s="6" t="s">
        <v>266</v>
      </c>
      <c r="F62" s="6" t="s">
        <v>267</v>
      </c>
      <c r="G62" s="6" t="s">
        <v>268</v>
      </c>
      <c r="H62" s="6" t="n">
        <v>4</v>
      </c>
      <c r="I62" s="6" t="s">
        <v>471</v>
      </c>
      <c r="J62" s="6" t="n">
        <v>8</v>
      </c>
      <c r="K62" s="6" t="n">
        <v>180</v>
      </c>
      <c r="L62" s="6" t="s">
        <v>270</v>
      </c>
      <c r="M62" s="7" t="s">
        <v>271</v>
      </c>
      <c r="N62" s="6" t="s">
        <v>87</v>
      </c>
      <c r="O62" s="6" t="s">
        <v>272</v>
      </c>
      <c r="P62" s="6" t="s">
        <v>273</v>
      </c>
      <c r="Q62" s="6" t="s">
        <v>274</v>
      </c>
      <c r="R62" s="6" t="s">
        <v>275</v>
      </c>
      <c r="S62" s="6" t="s">
        <v>276</v>
      </c>
      <c r="T62" s="6" t="s">
        <v>277</v>
      </c>
      <c r="U62" s="6" t="s">
        <v>278</v>
      </c>
      <c r="V62" s="6" t="s">
        <v>279</v>
      </c>
    </row>
    <row r="63" customFormat="false" ht="33.75" hidden="false" customHeight="true" outlineLevel="0" collapsed="false">
      <c r="A63" s="6" t="n">
        <v>1062</v>
      </c>
      <c r="B63" s="6" t="s">
        <v>166</v>
      </c>
      <c r="C63" s="6" t="n">
        <v>2</v>
      </c>
      <c r="D63" s="6" t="s">
        <v>331</v>
      </c>
      <c r="E63" s="6" t="s">
        <v>324</v>
      </c>
      <c r="F63" s="6" t="s">
        <v>332</v>
      </c>
      <c r="G63" s="6" t="s">
        <v>318</v>
      </c>
      <c r="H63" s="6" t="n">
        <v>4</v>
      </c>
      <c r="I63" s="6" t="s">
        <v>269</v>
      </c>
      <c r="J63" s="6" t="n">
        <v>8</v>
      </c>
      <c r="K63" s="6" t="n">
        <v>180</v>
      </c>
      <c r="L63" s="6" t="s">
        <v>334</v>
      </c>
      <c r="M63" s="7" t="s">
        <v>335</v>
      </c>
      <c r="N63" s="6" t="s">
        <v>87</v>
      </c>
      <c r="O63" s="6" t="s">
        <v>336</v>
      </c>
      <c r="P63" s="6" t="s">
        <v>328</v>
      </c>
      <c r="Q63" s="6" t="s">
        <v>274</v>
      </c>
      <c r="R63" s="6" t="s">
        <v>275</v>
      </c>
      <c r="S63" s="6" t="s">
        <v>337</v>
      </c>
      <c r="T63" s="6" t="s">
        <v>279</v>
      </c>
      <c r="U63" s="6" t="s">
        <v>338</v>
      </c>
      <c r="V63" s="6" t="s">
        <v>279</v>
      </c>
    </row>
    <row r="64" customFormat="false" ht="33.75" hidden="false" customHeight="true" outlineLevel="0" collapsed="false">
      <c r="A64" s="6" t="n">
        <v>1063</v>
      </c>
      <c r="B64" s="6" t="s">
        <v>166</v>
      </c>
      <c r="C64" s="6" t="n">
        <v>3</v>
      </c>
      <c r="D64" s="6" t="s">
        <v>288</v>
      </c>
      <c r="E64" s="6" t="s">
        <v>281</v>
      </c>
      <c r="F64" s="6" t="s">
        <v>282</v>
      </c>
      <c r="G64" s="6" t="s">
        <v>277</v>
      </c>
      <c r="H64" s="6" t="n">
        <v>3</v>
      </c>
      <c r="I64" s="6" t="s">
        <v>382</v>
      </c>
      <c r="J64" s="6" t="n">
        <v>8.5</v>
      </c>
      <c r="K64" s="6" t="n">
        <v>120</v>
      </c>
      <c r="L64" s="6" t="s">
        <v>334</v>
      </c>
      <c r="M64" s="7" t="s">
        <v>413</v>
      </c>
      <c r="N64" s="6" t="s">
        <v>87</v>
      </c>
      <c r="O64" s="6" t="s">
        <v>286</v>
      </c>
      <c r="P64" s="6" t="s">
        <v>287</v>
      </c>
      <c r="Q64" s="6" t="s">
        <v>274</v>
      </c>
      <c r="R64" s="6" t="s">
        <v>275</v>
      </c>
      <c r="S64" s="6" t="s">
        <v>280</v>
      </c>
      <c r="T64" s="6" t="s">
        <v>268</v>
      </c>
      <c r="U64" s="6" t="s">
        <v>289</v>
      </c>
      <c r="V64" s="6" t="s">
        <v>279</v>
      </c>
    </row>
    <row r="65" customFormat="false" ht="33.75" hidden="false" customHeight="true" outlineLevel="0" collapsed="false">
      <c r="A65" s="6" t="n">
        <v>1064</v>
      </c>
      <c r="B65" s="6" t="s">
        <v>166</v>
      </c>
      <c r="C65" s="6" t="n">
        <v>4</v>
      </c>
      <c r="D65" s="6" t="s">
        <v>329</v>
      </c>
      <c r="E65" s="6" t="s">
        <v>340</v>
      </c>
      <c r="F65" s="6" t="s">
        <v>341</v>
      </c>
      <c r="G65" s="6" t="s">
        <v>279</v>
      </c>
      <c r="H65" s="6" t="n">
        <v>3</v>
      </c>
      <c r="I65" s="6" t="s">
        <v>382</v>
      </c>
      <c r="J65" s="6" t="n">
        <v>8.5</v>
      </c>
      <c r="K65" s="6" t="n">
        <v>120</v>
      </c>
      <c r="L65" s="6" t="s">
        <v>320</v>
      </c>
      <c r="M65" s="7" t="s">
        <v>443</v>
      </c>
      <c r="N65" s="6" t="s">
        <v>87</v>
      </c>
      <c r="O65" s="6" t="s">
        <v>327</v>
      </c>
      <c r="P65" s="6" t="s">
        <v>328</v>
      </c>
      <c r="Q65" s="6" t="s">
        <v>274</v>
      </c>
      <c r="R65" s="6" t="s">
        <v>275</v>
      </c>
      <c r="S65" s="6" t="s">
        <v>444</v>
      </c>
      <c r="T65" s="6" t="s">
        <v>300</v>
      </c>
      <c r="U65" s="6" t="s">
        <v>445</v>
      </c>
      <c r="V65" s="6" t="s">
        <v>277</v>
      </c>
    </row>
    <row r="66" customFormat="false" ht="33.75" hidden="false" customHeight="true" outlineLevel="0" collapsed="false">
      <c r="A66" s="6" t="n">
        <v>1065</v>
      </c>
      <c r="B66" s="6" t="s">
        <v>166</v>
      </c>
      <c r="C66" s="6" t="n">
        <v>5</v>
      </c>
      <c r="D66" s="6" t="s">
        <v>297</v>
      </c>
      <c r="E66" s="6" t="s">
        <v>298</v>
      </c>
      <c r="F66" s="6" t="s">
        <v>299</v>
      </c>
      <c r="G66" s="6" t="s">
        <v>300</v>
      </c>
      <c r="H66" s="6" t="n">
        <v>3</v>
      </c>
      <c r="I66" s="6" t="s">
        <v>301</v>
      </c>
      <c r="J66" s="6" t="n">
        <v>9</v>
      </c>
      <c r="K66" s="6" t="n">
        <v>60</v>
      </c>
      <c r="L66" s="6" t="s">
        <v>302</v>
      </c>
      <c r="M66" s="7" t="s">
        <v>303</v>
      </c>
      <c r="N66" s="6" t="s">
        <v>87</v>
      </c>
      <c r="O66" s="6" t="s">
        <v>304</v>
      </c>
      <c r="P66" s="6" t="s">
        <v>287</v>
      </c>
      <c r="Q66" s="6" t="s">
        <v>275</v>
      </c>
      <c r="R66" s="6" t="s">
        <v>274</v>
      </c>
      <c r="S66" s="6" t="s">
        <v>305</v>
      </c>
      <c r="T66" s="6" t="s">
        <v>277</v>
      </c>
      <c r="U66" s="6" t="s">
        <v>306</v>
      </c>
      <c r="V66" s="6" t="s">
        <v>279</v>
      </c>
    </row>
    <row r="67" customFormat="false" ht="33.75" hidden="false" customHeight="true" outlineLevel="0" collapsed="false">
      <c r="A67" s="6" t="n">
        <v>1066</v>
      </c>
      <c r="B67" s="6" t="s">
        <v>166</v>
      </c>
      <c r="C67" s="6" t="n">
        <v>6</v>
      </c>
      <c r="D67" s="6" t="s">
        <v>516</v>
      </c>
      <c r="E67" s="6" t="s">
        <v>517</v>
      </c>
      <c r="F67" s="6" t="s">
        <v>518</v>
      </c>
      <c r="G67" s="6" t="s">
        <v>268</v>
      </c>
      <c r="H67" s="6" t="n">
        <v>3</v>
      </c>
      <c r="I67" s="6" t="s">
        <v>292</v>
      </c>
      <c r="J67" s="6" t="n">
        <v>9</v>
      </c>
      <c r="K67" s="6" t="n">
        <v>75</v>
      </c>
      <c r="L67" s="6" t="s">
        <v>302</v>
      </c>
      <c r="M67" s="7" t="s">
        <v>519</v>
      </c>
      <c r="N67" s="6" t="s">
        <v>87</v>
      </c>
      <c r="O67" s="6" t="s">
        <v>520</v>
      </c>
      <c r="P67" s="6" t="s">
        <v>362</v>
      </c>
      <c r="Q67" s="6" t="s">
        <v>275</v>
      </c>
      <c r="R67" s="6" t="s">
        <v>275</v>
      </c>
      <c r="S67" s="6" t="s">
        <v>521</v>
      </c>
      <c r="T67" s="6" t="s">
        <v>268</v>
      </c>
      <c r="U67" s="6" t="s">
        <v>522</v>
      </c>
      <c r="V67" s="6" t="s">
        <v>300</v>
      </c>
    </row>
    <row r="68" customFormat="false" ht="33.75" hidden="false" customHeight="true" outlineLevel="0" collapsed="false">
      <c r="A68" s="6" t="n">
        <v>1067</v>
      </c>
      <c r="B68" s="6" t="s">
        <v>166</v>
      </c>
      <c r="C68" s="6" t="n">
        <v>7</v>
      </c>
      <c r="D68" s="6" t="s">
        <v>434</v>
      </c>
      <c r="E68" s="6" t="s">
        <v>435</v>
      </c>
      <c r="F68" s="6" t="s">
        <v>436</v>
      </c>
      <c r="G68" s="6" t="s">
        <v>300</v>
      </c>
      <c r="H68" s="6" t="n">
        <v>3</v>
      </c>
      <c r="I68" s="6" t="s">
        <v>500</v>
      </c>
      <c r="J68" s="6" t="n">
        <v>9</v>
      </c>
      <c r="K68" s="6" t="n">
        <v>60</v>
      </c>
      <c r="L68" s="6" t="s">
        <v>302</v>
      </c>
      <c r="M68" s="7" t="s">
        <v>437</v>
      </c>
      <c r="N68" s="6" t="s">
        <v>87</v>
      </c>
      <c r="O68" s="6" t="s">
        <v>438</v>
      </c>
      <c r="P68" s="6" t="s">
        <v>313</v>
      </c>
      <c r="Q68" s="6" t="s">
        <v>275</v>
      </c>
      <c r="R68" s="6" t="s">
        <v>275</v>
      </c>
      <c r="S68" s="6" t="s">
        <v>439</v>
      </c>
      <c r="T68" s="6" t="s">
        <v>300</v>
      </c>
      <c r="U68" s="6" t="s">
        <v>440</v>
      </c>
      <c r="V68" s="6" t="s">
        <v>318</v>
      </c>
    </row>
    <row r="69" customFormat="false" ht="33.75" hidden="false" customHeight="true" outlineLevel="0" collapsed="false">
      <c r="A69" s="6" t="n">
        <v>1068</v>
      </c>
      <c r="B69" s="6" t="s">
        <v>170</v>
      </c>
      <c r="C69" s="6" t="n">
        <v>1</v>
      </c>
      <c r="D69" s="6" t="s">
        <v>371</v>
      </c>
      <c r="E69" s="6" t="s">
        <v>372</v>
      </c>
      <c r="F69" s="6" t="s">
        <v>373</v>
      </c>
      <c r="G69" s="6" t="s">
        <v>268</v>
      </c>
      <c r="H69" s="6" t="n">
        <v>4</v>
      </c>
      <c r="I69" s="6" t="s">
        <v>471</v>
      </c>
      <c r="J69" s="6" t="n">
        <v>8</v>
      </c>
      <c r="K69" s="6" t="n">
        <v>210</v>
      </c>
      <c r="L69" s="6" t="s">
        <v>270</v>
      </c>
      <c r="M69" s="7" t="s">
        <v>374</v>
      </c>
      <c r="N69" s="6" t="s">
        <v>87</v>
      </c>
      <c r="O69" s="6" t="s">
        <v>375</v>
      </c>
      <c r="P69" s="6" t="s">
        <v>376</v>
      </c>
      <c r="Q69" s="6" t="s">
        <v>274</v>
      </c>
      <c r="R69" s="6" t="s">
        <v>275</v>
      </c>
      <c r="S69" s="6" t="s">
        <v>377</v>
      </c>
      <c r="T69" s="6" t="s">
        <v>279</v>
      </c>
      <c r="U69" s="6" t="s">
        <v>378</v>
      </c>
      <c r="V69" s="6" t="s">
        <v>277</v>
      </c>
    </row>
    <row r="70" customFormat="false" ht="33.75" hidden="false" customHeight="true" outlineLevel="0" collapsed="false">
      <c r="A70" s="6" t="n">
        <v>1069</v>
      </c>
      <c r="B70" s="6" t="s">
        <v>170</v>
      </c>
      <c r="C70" s="6" t="n">
        <v>2</v>
      </c>
      <c r="D70" s="6" t="s">
        <v>379</v>
      </c>
      <c r="E70" s="6" t="s">
        <v>380</v>
      </c>
      <c r="F70" s="6" t="s">
        <v>381</v>
      </c>
      <c r="G70" s="6" t="s">
        <v>268</v>
      </c>
      <c r="H70" s="6" t="n">
        <v>3</v>
      </c>
      <c r="I70" s="6" t="s">
        <v>283</v>
      </c>
      <c r="J70" s="6" t="n">
        <v>8</v>
      </c>
      <c r="K70" s="6" t="n">
        <v>180</v>
      </c>
      <c r="L70" s="6" t="s">
        <v>270</v>
      </c>
      <c r="M70" s="7" t="s">
        <v>383</v>
      </c>
      <c r="N70" s="6" t="s">
        <v>87</v>
      </c>
      <c r="O70" s="6" t="s">
        <v>384</v>
      </c>
      <c r="P70" s="6" t="s">
        <v>385</v>
      </c>
      <c r="Q70" s="6" t="s">
        <v>274</v>
      </c>
      <c r="R70" s="6" t="s">
        <v>275</v>
      </c>
      <c r="S70" s="6" t="s">
        <v>386</v>
      </c>
      <c r="T70" s="6" t="s">
        <v>277</v>
      </c>
      <c r="U70" s="6" t="s">
        <v>387</v>
      </c>
      <c r="V70" s="6" t="s">
        <v>279</v>
      </c>
    </row>
    <row r="71" customFormat="false" ht="33.75" hidden="false" customHeight="true" outlineLevel="0" collapsed="false">
      <c r="A71" s="6" t="n">
        <v>1070</v>
      </c>
      <c r="B71" s="6" t="s">
        <v>170</v>
      </c>
      <c r="C71" s="6" t="n">
        <v>3</v>
      </c>
      <c r="D71" s="6" t="s">
        <v>388</v>
      </c>
      <c r="E71" s="6" t="s">
        <v>372</v>
      </c>
      <c r="F71" s="6" t="s">
        <v>389</v>
      </c>
      <c r="G71" s="6" t="s">
        <v>279</v>
      </c>
      <c r="H71" s="6" t="n">
        <v>3</v>
      </c>
      <c r="I71" s="6" t="s">
        <v>310</v>
      </c>
      <c r="J71" s="6" t="n">
        <v>8.5</v>
      </c>
      <c r="K71" s="6" t="n">
        <v>120</v>
      </c>
      <c r="L71" s="6" t="s">
        <v>320</v>
      </c>
      <c r="M71" s="7" t="s">
        <v>390</v>
      </c>
      <c r="N71" s="6" t="s">
        <v>87</v>
      </c>
      <c r="O71" s="6" t="s">
        <v>375</v>
      </c>
      <c r="P71" s="6" t="s">
        <v>376</v>
      </c>
      <c r="Q71" s="6" t="s">
        <v>274</v>
      </c>
      <c r="R71" s="6" t="s">
        <v>275</v>
      </c>
      <c r="S71" s="6" t="s">
        <v>391</v>
      </c>
      <c r="T71" s="6" t="s">
        <v>279</v>
      </c>
      <c r="U71" s="6" t="s">
        <v>371</v>
      </c>
      <c r="V71" s="6" t="s">
        <v>268</v>
      </c>
    </row>
    <row r="72" customFormat="false" ht="33.75" hidden="false" customHeight="true" outlineLevel="0" collapsed="false">
      <c r="A72" s="6" t="n">
        <v>1071</v>
      </c>
      <c r="B72" s="6" t="s">
        <v>170</v>
      </c>
      <c r="C72" s="6" t="n">
        <v>4</v>
      </c>
      <c r="D72" s="6" t="s">
        <v>398</v>
      </c>
      <c r="E72" s="6" t="s">
        <v>380</v>
      </c>
      <c r="F72" s="6" t="s">
        <v>399</v>
      </c>
      <c r="G72" s="6" t="s">
        <v>279</v>
      </c>
      <c r="H72" s="6" t="n">
        <v>3</v>
      </c>
      <c r="I72" s="6" t="s">
        <v>310</v>
      </c>
      <c r="J72" s="6" t="n">
        <v>9</v>
      </c>
      <c r="K72" s="6" t="n">
        <v>90</v>
      </c>
      <c r="L72" s="6" t="s">
        <v>270</v>
      </c>
      <c r="M72" s="7" t="s">
        <v>400</v>
      </c>
      <c r="N72" s="6" t="s">
        <v>87</v>
      </c>
      <c r="O72" s="6" t="s">
        <v>401</v>
      </c>
      <c r="P72" s="6" t="s">
        <v>385</v>
      </c>
      <c r="Q72" s="6" t="s">
        <v>275</v>
      </c>
      <c r="R72" s="6" t="s">
        <v>275</v>
      </c>
      <c r="S72" s="6" t="s">
        <v>402</v>
      </c>
      <c r="T72" s="6" t="s">
        <v>279</v>
      </c>
      <c r="U72" s="6" t="s">
        <v>403</v>
      </c>
      <c r="V72" s="6" t="s">
        <v>318</v>
      </c>
    </row>
    <row r="73" customFormat="false" ht="33.75" hidden="false" customHeight="true" outlineLevel="0" collapsed="false">
      <c r="A73" s="6" t="n">
        <v>1072</v>
      </c>
      <c r="B73" s="6" t="s">
        <v>170</v>
      </c>
      <c r="C73" s="6" t="n">
        <v>5</v>
      </c>
      <c r="D73" s="6" t="s">
        <v>404</v>
      </c>
      <c r="E73" s="6" t="s">
        <v>405</v>
      </c>
      <c r="F73" s="6" t="s">
        <v>406</v>
      </c>
      <c r="G73" s="6" t="s">
        <v>279</v>
      </c>
      <c r="H73" s="6" t="n">
        <v>4</v>
      </c>
      <c r="I73" s="6" t="s">
        <v>292</v>
      </c>
      <c r="J73" s="6" t="n">
        <v>9</v>
      </c>
      <c r="K73" s="6" t="n">
        <v>75</v>
      </c>
      <c r="L73" s="6" t="s">
        <v>407</v>
      </c>
      <c r="M73" s="7" t="s">
        <v>408</v>
      </c>
      <c r="N73" s="6" t="s">
        <v>87</v>
      </c>
      <c r="O73" s="6" t="s">
        <v>409</v>
      </c>
      <c r="P73" s="6" t="s">
        <v>410</v>
      </c>
      <c r="Q73" s="6" t="s">
        <v>275</v>
      </c>
      <c r="R73" s="6" t="s">
        <v>275</v>
      </c>
      <c r="S73" s="6" t="s">
        <v>411</v>
      </c>
      <c r="T73" s="6" t="s">
        <v>279</v>
      </c>
      <c r="U73" s="6" t="s">
        <v>412</v>
      </c>
      <c r="V73" s="6" t="s">
        <v>279</v>
      </c>
    </row>
    <row r="74" customFormat="false" ht="33.75" hidden="false" customHeight="true" outlineLevel="0" collapsed="false">
      <c r="A74" s="6" t="n">
        <v>1073</v>
      </c>
      <c r="B74" s="6" t="s">
        <v>170</v>
      </c>
      <c r="C74" s="6" t="n">
        <v>6</v>
      </c>
      <c r="D74" s="6" t="s">
        <v>524</v>
      </c>
      <c r="E74" s="6" t="s">
        <v>498</v>
      </c>
      <c r="F74" s="6" t="s">
        <v>525</v>
      </c>
      <c r="G74" s="6" t="s">
        <v>318</v>
      </c>
      <c r="H74" s="6" t="n">
        <v>3</v>
      </c>
      <c r="I74" s="6" t="s">
        <v>292</v>
      </c>
      <c r="J74" s="6" t="n">
        <v>8.5</v>
      </c>
      <c r="K74" s="6" t="n">
        <v>60</v>
      </c>
      <c r="L74" s="6" t="s">
        <v>334</v>
      </c>
      <c r="M74" s="7" t="s">
        <v>526</v>
      </c>
      <c r="N74" s="6" t="s">
        <v>87</v>
      </c>
      <c r="O74" s="6" t="s">
        <v>527</v>
      </c>
      <c r="P74" s="6" t="s">
        <v>503</v>
      </c>
      <c r="Q74" s="6" t="s">
        <v>275</v>
      </c>
      <c r="R74" s="6" t="s">
        <v>275</v>
      </c>
      <c r="S74" s="6" t="s">
        <v>528</v>
      </c>
      <c r="T74" s="6" t="s">
        <v>318</v>
      </c>
      <c r="U74" s="6" t="s">
        <v>529</v>
      </c>
      <c r="V74" s="6" t="s">
        <v>300</v>
      </c>
    </row>
    <row r="75" customFormat="false" ht="33.75" hidden="false" customHeight="true" outlineLevel="0" collapsed="false">
      <c r="A75" s="6" t="n">
        <v>1074</v>
      </c>
      <c r="B75" s="6" t="s">
        <v>174</v>
      </c>
      <c r="C75" s="6" t="n">
        <v>1</v>
      </c>
      <c r="D75" s="6" t="s">
        <v>290</v>
      </c>
      <c r="E75" s="6" t="s">
        <v>291</v>
      </c>
      <c r="F75" s="6" t="s">
        <v>267</v>
      </c>
      <c r="G75" s="6" t="s">
        <v>277</v>
      </c>
      <c r="H75" s="6" t="n">
        <v>4</v>
      </c>
      <c r="I75" s="6" t="s">
        <v>292</v>
      </c>
      <c r="J75" s="6" t="n">
        <v>8.5</v>
      </c>
      <c r="K75" s="6" t="n">
        <v>120</v>
      </c>
      <c r="L75" s="6" t="s">
        <v>270</v>
      </c>
      <c r="M75" s="7" t="s">
        <v>293</v>
      </c>
      <c r="N75" s="6" t="s">
        <v>87</v>
      </c>
      <c r="O75" s="6" t="s">
        <v>294</v>
      </c>
      <c r="P75" s="6" t="s">
        <v>273</v>
      </c>
      <c r="Q75" s="6" t="s">
        <v>274</v>
      </c>
      <c r="R75" s="6" t="s">
        <v>275</v>
      </c>
      <c r="S75" s="6" t="s">
        <v>295</v>
      </c>
      <c r="T75" s="6" t="s">
        <v>268</v>
      </c>
      <c r="U75" s="6" t="s">
        <v>296</v>
      </c>
      <c r="V75" s="6" t="s">
        <v>279</v>
      </c>
    </row>
    <row r="76" customFormat="false" ht="33.75" hidden="false" customHeight="true" outlineLevel="0" collapsed="false">
      <c r="A76" s="6" t="n">
        <v>1075</v>
      </c>
      <c r="B76" s="6" t="s">
        <v>174</v>
      </c>
      <c r="C76" s="6" t="n">
        <v>2</v>
      </c>
      <c r="D76" s="6" t="s">
        <v>441</v>
      </c>
      <c r="E76" s="6" t="s">
        <v>324</v>
      </c>
      <c r="F76" s="6" t="s">
        <v>332</v>
      </c>
      <c r="G76" s="6" t="s">
        <v>279</v>
      </c>
      <c r="H76" s="6" t="n">
        <v>4</v>
      </c>
      <c r="I76" s="6" t="s">
        <v>310</v>
      </c>
      <c r="J76" s="6" t="n">
        <v>8.5</v>
      </c>
      <c r="K76" s="6" t="n">
        <v>120</v>
      </c>
      <c r="L76" s="6" t="s">
        <v>334</v>
      </c>
      <c r="M76" s="7" t="s">
        <v>442</v>
      </c>
      <c r="N76" s="6" t="s">
        <v>87</v>
      </c>
      <c r="O76" s="6" t="s">
        <v>336</v>
      </c>
      <c r="P76" s="6" t="s">
        <v>328</v>
      </c>
      <c r="Q76" s="6" t="s">
        <v>274</v>
      </c>
      <c r="R76" s="6" t="s">
        <v>275</v>
      </c>
      <c r="S76" s="6" t="s">
        <v>331</v>
      </c>
      <c r="T76" s="6" t="s">
        <v>318</v>
      </c>
      <c r="U76" s="6" t="s">
        <v>338</v>
      </c>
      <c r="V76" s="6" t="s">
        <v>279</v>
      </c>
    </row>
    <row r="77" customFormat="false" ht="33.75" hidden="false" customHeight="true" outlineLevel="0" collapsed="false">
      <c r="A77" s="6" t="n">
        <v>1076</v>
      </c>
      <c r="B77" s="6" t="s">
        <v>174</v>
      </c>
      <c r="C77" s="6" t="n">
        <v>3</v>
      </c>
      <c r="D77" s="6" t="s">
        <v>339</v>
      </c>
      <c r="E77" s="6" t="s">
        <v>340</v>
      </c>
      <c r="F77" s="6" t="s">
        <v>341</v>
      </c>
      <c r="G77" s="6" t="s">
        <v>300</v>
      </c>
      <c r="H77" s="6" t="n">
        <v>3</v>
      </c>
      <c r="I77" s="6" t="s">
        <v>310</v>
      </c>
      <c r="J77" s="6" t="n">
        <v>8.5</v>
      </c>
      <c r="K77" s="6" t="n">
        <v>90</v>
      </c>
      <c r="L77" s="6" t="s">
        <v>320</v>
      </c>
      <c r="M77" s="7" t="s">
        <v>342</v>
      </c>
      <c r="N77" s="6" t="s">
        <v>87</v>
      </c>
      <c r="O77" s="6" t="s">
        <v>327</v>
      </c>
      <c r="P77" s="6" t="s">
        <v>328</v>
      </c>
      <c r="Q77" s="6" t="s">
        <v>274</v>
      </c>
      <c r="R77" s="6" t="s">
        <v>275</v>
      </c>
      <c r="S77" s="6" t="s">
        <v>329</v>
      </c>
      <c r="T77" s="6" t="s">
        <v>279</v>
      </c>
      <c r="U77" s="6" t="s">
        <v>330</v>
      </c>
      <c r="V77" s="6" t="s">
        <v>277</v>
      </c>
    </row>
    <row r="78" customFormat="false" ht="33.75" hidden="false" customHeight="true" outlineLevel="0" collapsed="false">
      <c r="A78" s="6" t="n">
        <v>1077</v>
      </c>
      <c r="B78" s="6" t="s">
        <v>174</v>
      </c>
      <c r="C78" s="6" t="n">
        <v>4</v>
      </c>
      <c r="D78" s="6" t="s">
        <v>305</v>
      </c>
      <c r="E78" s="6" t="s">
        <v>298</v>
      </c>
      <c r="F78" s="6" t="s">
        <v>431</v>
      </c>
      <c r="G78" s="6" t="s">
        <v>277</v>
      </c>
      <c r="H78" s="6" t="n">
        <v>4</v>
      </c>
      <c r="I78" s="6" t="s">
        <v>432</v>
      </c>
      <c r="J78" s="6" t="n">
        <v>9.5</v>
      </c>
      <c r="K78" s="6" t="n">
        <v>60</v>
      </c>
      <c r="L78" s="6" t="s">
        <v>302</v>
      </c>
      <c r="M78" s="7" t="s">
        <v>514</v>
      </c>
      <c r="N78" s="6" t="s">
        <v>87</v>
      </c>
      <c r="O78" s="6" t="s">
        <v>304</v>
      </c>
      <c r="P78" s="6" t="s">
        <v>287</v>
      </c>
      <c r="Q78" s="6" t="s">
        <v>275</v>
      </c>
      <c r="R78" s="6" t="s">
        <v>275</v>
      </c>
      <c r="S78" s="6" t="s">
        <v>297</v>
      </c>
      <c r="T78" s="6" t="s">
        <v>300</v>
      </c>
      <c r="U78" s="6" t="s">
        <v>306</v>
      </c>
      <c r="V78" s="6" t="s">
        <v>279</v>
      </c>
    </row>
    <row r="79" customFormat="false" ht="33.75" hidden="false" customHeight="true" outlineLevel="0" collapsed="false">
      <c r="A79" s="6" t="n">
        <v>1078</v>
      </c>
      <c r="B79" s="6" t="s">
        <v>174</v>
      </c>
      <c r="C79" s="6" t="n">
        <v>5</v>
      </c>
      <c r="D79" s="6" t="s">
        <v>343</v>
      </c>
      <c r="E79" s="6" t="s">
        <v>344</v>
      </c>
      <c r="F79" s="6" t="s">
        <v>345</v>
      </c>
      <c r="G79" s="6" t="s">
        <v>300</v>
      </c>
      <c r="H79" s="6" t="n">
        <v>3</v>
      </c>
      <c r="I79" s="6" t="s">
        <v>346</v>
      </c>
      <c r="J79" s="6" t="n">
        <v>9</v>
      </c>
      <c r="K79" s="6" t="n">
        <v>60</v>
      </c>
      <c r="L79" s="6" t="s">
        <v>302</v>
      </c>
      <c r="M79" s="7" t="s">
        <v>347</v>
      </c>
      <c r="N79" s="6" t="s">
        <v>87</v>
      </c>
      <c r="O79" s="6" t="s">
        <v>348</v>
      </c>
      <c r="P79" s="6" t="s">
        <v>287</v>
      </c>
      <c r="Q79" s="6" t="s">
        <v>275</v>
      </c>
      <c r="R79" s="6" t="s">
        <v>275</v>
      </c>
      <c r="S79" s="6" t="s">
        <v>349</v>
      </c>
      <c r="T79" s="6" t="s">
        <v>279</v>
      </c>
      <c r="U79" s="6" t="s">
        <v>350</v>
      </c>
      <c r="V79" s="6" t="s">
        <v>318</v>
      </c>
    </row>
    <row r="80" customFormat="false" ht="33.75" hidden="false" customHeight="true" outlineLevel="0" collapsed="false">
      <c r="A80" s="6" t="n">
        <v>1079</v>
      </c>
      <c r="B80" s="6" t="s">
        <v>174</v>
      </c>
      <c r="C80" s="6" t="n">
        <v>6</v>
      </c>
      <c r="D80" s="6" t="s">
        <v>357</v>
      </c>
      <c r="E80" s="6" t="s">
        <v>358</v>
      </c>
      <c r="F80" s="6" t="s">
        <v>359</v>
      </c>
      <c r="G80" s="6" t="s">
        <v>277</v>
      </c>
      <c r="H80" s="6" t="n">
        <v>3</v>
      </c>
      <c r="I80" s="6" t="s">
        <v>310</v>
      </c>
      <c r="J80" s="6" t="n">
        <v>9</v>
      </c>
      <c r="K80" s="6" t="n">
        <v>60</v>
      </c>
      <c r="L80" s="6" t="s">
        <v>334</v>
      </c>
      <c r="M80" s="7" t="s">
        <v>360</v>
      </c>
      <c r="N80" s="6" t="s">
        <v>87</v>
      </c>
      <c r="O80" s="6" t="s">
        <v>361</v>
      </c>
      <c r="P80" s="6" t="s">
        <v>362</v>
      </c>
      <c r="Q80" s="6" t="s">
        <v>275</v>
      </c>
      <c r="R80" s="6" t="s">
        <v>275</v>
      </c>
      <c r="S80" s="6" t="s">
        <v>363</v>
      </c>
      <c r="T80" s="6" t="s">
        <v>300</v>
      </c>
      <c r="U80" s="6" t="s">
        <v>364</v>
      </c>
      <c r="V80" s="6" t="s">
        <v>268</v>
      </c>
    </row>
    <row r="81" customFormat="false" ht="33.75" hidden="false" customHeight="true" outlineLevel="0" collapsed="false">
      <c r="A81" s="6" t="n">
        <v>1080</v>
      </c>
      <c r="B81" s="6" t="s">
        <v>174</v>
      </c>
      <c r="C81" s="6" t="n">
        <v>7</v>
      </c>
      <c r="D81" s="6" t="s">
        <v>307</v>
      </c>
      <c r="E81" s="6" t="s">
        <v>308</v>
      </c>
      <c r="F81" s="6" t="s">
        <v>309</v>
      </c>
      <c r="G81" s="6" t="s">
        <v>300</v>
      </c>
      <c r="H81" s="6" t="n">
        <v>3</v>
      </c>
      <c r="I81" s="6" t="s">
        <v>500</v>
      </c>
      <c r="J81" s="6" t="n">
        <v>9.5</v>
      </c>
      <c r="K81" s="6" t="n">
        <v>60</v>
      </c>
      <c r="L81" s="6" t="s">
        <v>270</v>
      </c>
      <c r="M81" s="7" t="s">
        <v>311</v>
      </c>
      <c r="N81" s="6" t="s">
        <v>87</v>
      </c>
      <c r="O81" s="6" t="s">
        <v>312</v>
      </c>
      <c r="P81" s="6" t="s">
        <v>313</v>
      </c>
      <c r="Q81" s="6" t="s">
        <v>275</v>
      </c>
      <c r="R81" s="6" t="s">
        <v>275</v>
      </c>
      <c r="S81" s="6" t="s">
        <v>314</v>
      </c>
      <c r="T81" s="6" t="s">
        <v>277</v>
      </c>
      <c r="U81" s="6" t="s">
        <v>315</v>
      </c>
      <c r="V81" s="6" t="s">
        <v>268</v>
      </c>
    </row>
    <row r="82" customFormat="false" ht="33.75" hidden="false" customHeight="true" outlineLevel="0" collapsed="false">
      <c r="A82" s="6" t="n">
        <v>1081</v>
      </c>
      <c r="B82" s="6" t="s">
        <v>179</v>
      </c>
      <c r="C82" s="6" t="n">
        <v>1</v>
      </c>
      <c r="D82" s="6" t="s">
        <v>391</v>
      </c>
      <c r="E82" s="6" t="s">
        <v>372</v>
      </c>
      <c r="F82" s="6" t="s">
        <v>475</v>
      </c>
      <c r="G82" s="6" t="s">
        <v>279</v>
      </c>
      <c r="H82" s="6" t="n">
        <v>4</v>
      </c>
      <c r="I82" s="6" t="s">
        <v>292</v>
      </c>
      <c r="J82" s="6" t="n">
        <v>8.5</v>
      </c>
      <c r="K82" s="6" t="n">
        <v>150</v>
      </c>
      <c r="L82" s="6" t="s">
        <v>270</v>
      </c>
      <c r="M82" s="7" t="s">
        <v>530</v>
      </c>
      <c r="N82" s="6" t="s">
        <v>87</v>
      </c>
      <c r="O82" s="6" t="s">
        <v>375</v>
      </c>
      <c r="P82" s="6" t="s">
        <v>376</v>
      </c>
      <c r="Q82" s="6" t="s">
        <v>274</v>
      </c>
      <c r="R82" s="6" t="s">
        <v>275</v>
      </c>
      <c r="S82" s="6" t="s">
        <v>371</v>
      </c>
      <c r="T82" s="6" t="s">
        <v>268</v>
      </c>
      <c r="U82" s="6" t="s">
        <v>388</v>
      </c>
      <c r="V82" s="6" t="s">
        <v>279</v>
      </c>
    </row>
    <row r="83" customFormat="false" ht="33.75" hidden="false" customHeight="true" outlineLevel="0" collapsed="false">
      <c r="A83" s="6" t="n">
        <v>1082</v>
      </c>
      <c r="B83" s="6" t="s">
        <v>179</v>
      </c>
      <c r="C83" s="6" t="n">
        <v>2</v>
      </c>
      <c r="D83" s="6" t="s">
        <v>474</v>
      </c>
      <c r="E83" s="6" t="s">
        <v>475</v>
      </c>
      <c r="F83" s="6" t="s">
        <v>476</v>
      </c>
      <c r="G83" s="6" t="s">
        <v>268</v>
      </c>
      <c r="H83" s="6" t="n">
        <v>4</v>
      </c>
      <c r="I83" s="6" t="s">
        <v>310</v>
      </c>
      <c r="J83" s="6" t="n">
        <v>8.5</v>
      </c>
      <c r="K83" s="6" t="n">
        <v>120</v>
      </c>
      <c r="L83" s="6" t="s">
        <v>455</v>
      </c>
      <c r="M83" s="7" t="s">
        <v>477</v>
      </c>
      <c r="N83" s="6" t="s">
        <v>87</v>
      </c>
      <c r="O83" s="6" t="s">
        <v>478</v>
      </c>
      <c r="P83" s="6" t="s">
        <v>479</v>
      </c>
      <c r="Q83" s="6" t="s">
        <v>274</v>
      </c>
      <c r="R83" s="6" t="s">
        <v>275</v>
      </c>
      <c r="S83" s="6" t="s">
        <v>480</v>
      </c>
      <c r="T83" s="6" t="s">
        <v>279</v>
      </c>
      <c r="U83" s="6" t="s">
        <v>481</v>
      </c>
      <c r="V83" s="6" t="s">
        <v>268</v>
      </c>
    </row>
    <row r="84" customFormat="false" ht="33.75" hidden="false" customHeight="true" outlineLevel="0" collapsed="false">
      <c r="A84" s="6" t="n">
        <v>1083</v>
      </c>
      <c r="B84" s="6" t="s">
        <v>179</v>
      </c>
      <c r="C84" s="6" t="n">
        <v>3</v>
      </c>
      <c r="D84" s="6" t="s">
        <v>392</v>
      </c>
      <c r="E84" s="6" t="s">
        <v>372</v>
      </c>
      <c r="F84" s="6" t="s">
        <v>389</v>
      </c>
      <c r="G84" s="6" t="s">
        <v>277</v>
      </c>
      <c r="H84" s="6" t="n">
        <v>3</v>
      </c>
      <c r="I84" s="6" t="s">
        <v>393</v>
      </c>
      <c r="J84" s="6" t="n">
        <v>8.5</v>
      </c>
      <c r="K84" s="6" t="n">
        <v>120</v>
      </c>
      <c r="L84" s="6" t="s">
        <v>334</v>
      </c>
      <c r="M84" s="7" t="s">
        <v>394</v>
      </c>
      <c r="N84" s="6" t="s">
        <v>87</v>
      </c>
      <c r="O84" s="6" t="s">
        <v>395</v>
      </c>
      <c r="P84" s="6" t="s">
        <v>376</v>
      </c>
      <c r="Q84" s="6" t="s">
        <v>274</v>
      </c>
      <c r="R84" s="6" t="s">
        <v>274</v>
      </c>
      <c r="S84" s="6" t="s">
        <v>396</v>
      </c>
      <c r="T84" s="6" t="s">
        <v>277</v>
      </c>
      <c r="U84" s="6" t="s">
        <v>397</v>
      </c>
      <c r="V84" s="6" t="s">
        <v>277</v>
      </c>
    </row>
    <row r="85" customFormat="false" ht="33.75" hidden="false" customHeight="true" outlineLevel="0" collapsed="false">
      <c r="A85" s="6" t="n">
        <v>1084</v>
      </c>
      <c r="B85" s="6" t="s">
        <v>179</v>
      </c>
      <c r="C85" s="6" t="n">
        <v>4</v>
      </c>
      <c r="D85" s="6" t="s">
        <v>402</v>
      </c>
      <c r="E85" s="6" t="s">
        <v>380</v>
      </c>
      <c r="F85" s="6" t="s">
        <v>405</v>
      </c>
      <c r="G85" s="6" t="s">
        <v>279</v>
      </c>
      <c r="H85" s="6" t="n">
        <v>4</v>
      </c>
      <c r="I85" s="6" t="s">
        <v>301</v>
      </c>
      <c r="J85" s="6" t="n">
        <v>9</v>
      </c>
      <c r="K85" s="6" t="n">
        <v>75</v>
      </c>
      <c r="L85" s="6" t="s">
        <v>270</v>
      </c>
      <c r="M85" s="7" t="s">
        <v>482</v>
      </c>
      <c r="N85" s="6" t="s">
        <v>87</v>
      </c>
      <c r="O85" s="6" t="s">
        <v>401</v>
      </c>
      <c r="P85" s="6" t="s">
        <v>385</v>
      </c>
      <c r="Q85" s="6" t="s">
        <v>275</v>
      </c>
      <c r="R85" s="6" t="s">
        <v>275</v>
      </c>
      <c r="S85" s="6" t="s">
        <v>398</v>
      </c>
      <c r="T85" s="6" t="s">
        <v>279</v>
      </c>
      <c r="U85" s="6" t="s">
        <v>403</v>
      </c>
      <c r="V85" s="6" t="s">
        <v>318</v>
      </c>
    </row>
    <row r="86" customFormat="false" ht="33.75" hidden="false" customHeight="true" outlineLevel="0" collapsed="false">
      <c r="A86" s="6" t="n">
        <v>1085</v>
      </c>
      <c r="B86" s="6" t="s">
        <v>179</v>
      </c>
      <c r="C86" s="6" t="n">
        <v>5</v>
      </c>
      <c r="D86" s="6" t="s">
        <v>483</v>
      </c>
      <c r="E86" s="6" t="s">
        <v>484</v>
      </c>
      <c r="F86" s="6" t="s">
        <v>485</v>
      </c>
      <c r="G86" s="6" t="s">
        <v>279</v>
      </c>
      <c r="H86" s="6" t="n">
        <v>3</v>
      </c>
      <c r="I86" s="6" t="s">
        <v>346</v>
      </c>
      <c r="J86" s="6" t="n">
        <v>9.5</v>
      </c>
      <c r="K86" s="6" t="n">
        <v>60</v>
      </c>
      <c r="L86" s="6" t="s">
        <v>302</v>
      </c>
      <c r="M86" s="7" t="s">
        <v>486</v>
      </c>
      <c r="N86" s="6" t="s">
        <v>87</v>
      </c>
      <c r="O86" s="6" t="s">
        <v>487</v>
      </c>
      <c r="P86" s="6" t="s">
        <v>376</v>
      </c>
      <c r="Q86" s="6" t="s">
        <v>275</v>
      </c>
      <c r="R86" s="6" t="s">
        <v>275</v>
      </c>
      <c r="S86" s="6" t="s">
        <v>488</v>
      </c>
      <c r="T86" s="6" t="s">
        <v>318</v>
      </c>
      <c r="U86" s="6" t="s">
        <v>489</v>
      </c>
      <c r="V86" s="6" t="s">
        <v>318</v>
      </c>
    </row>
    <row r="87" customFormat="false" ht="33.75" hidden="false" customHeight="true" outlineLevel="0" collapsed="false">
      <c r="A87" s="6" t="n">
        <v>1086</v>
      </c>
      <c r="B87" s="6" t="s">
        <v>179</v>
      </c>
      <c r="C87" s="6" t="n">
        <v>6</v>
      </c>
      <c r="D87" s="6" t="s">
        <v>493</v>
      </c>
      <c r="E87" s="6" t="s">
        <v>406</v>
      </c>
      <c r="F87" s="6" t="s">
        <v>405</v>
      </c>
      <c r="G87" s="6" t="s">
        <v>279</v>
      </c>
      <c r="H87" s="6" t="n">
        <v>4</v>
      </c>
      <c r="I87" s="6" t="s">
        <v>301</v>
      </c>
      <c r="J87" s="6" t="n">
        <v>9.5</v>
      </c>
      <c r="K87" s="6" t="n">
        <v>60</v>
      </c>
      <c r="L87" s="6" t="s">
        <v>407</v>
      </c>
      <c r="M87" s="7" t="s">
        <v>494</v>
      </c>
      <c r="N87" s="6" t="s">
        <v>87</v>
      </c>
      <c r="O87" s="6" t="s">
        <v>409</v>
      </c>
      <c r="P87" s="6" t="s">
        <v>410</v>
      </c>
      <c r="Q87" s="6" t="s">
        <v>275</v>
      </c>
      <c r="R87" s="6" t="s">
        <v>275</v>
      </c>
      <c r="S87" s="6" t="s">
        <v>495</v>
      </c>
      <c r="T87" s="6" t="s">
        <v>279</v>
      </c>
      <c r="U87" s="6" t="s">
        <v>496</v>
      </c>
      <c r="V87" s="6" t="s">
        <v>279</v>
      </c>
    </row>
    <row r="88" customFormat="false" ht="33.75" hidden="false" customHeight="true" outlineLevel="0" collapsed="false">
      <c r="A88" s="6" t="n">
        <v>1087</v>
      </c>
      <c r="B88" s="6" t="s">
        <v>179</v>
      </c>
      <c r="C88" s="6" t="n">
        <v>7</v>
      </c>
      <c r="D88" s="6" t="s">
        <v>497</v>
      </c>
      <c r="E88" s="6" t="s">
        <v>498</v>
      </c>
      <c r="F88" s="6" t="s">
        <v>499</v>
      </c>
      <c r="G88" s="6" t="s">
        <v>318</v>
      </c>
      <c r="H88" s="6" t="n">
        <v>3</v>
      </c>
      <c r="I88" s="6" t="s">
        <v>500</v>
      </c>
      <c r="J88" s="6" t="n">
        <v>9</v>
      </c>
      <c r="K88" s="6" t="n">
        <v>60</v>
      </c>
      <c r="L88" s="6" t="s">
        <v>302</v>
      </c>
      <c r="M88" s="7" t="s">
        <v>501</v>
      </c>
      <c r="N88" s="6" t="s">
        <v>87</v>
      </c>
      <c r="O88" s="6" t="s">
        <v>502</v>
      </c>
      <c r="P88" s="6" t="s">
        <v>503</v>
      </c>
      <c r="Q88" s="6" t="s">
        <v>275</v>
      </c>
      <c r="R88" s="6" t="s">
        <v>275</v>
      </c>
      <c r="S88" s="6" t="s">
        <v>504</v>
      </c>
      <c r="T88" s="6" t="s">
        <v>279</v>
      </c>
      <c r="U88" s="6" t="s">
        <v>505</v>
      </c>
      <c r="V88" s="6" t="s">
        <v>318</v>
      </c>
    </row>
    <row r="89" customFormat="false" ht="33.75" hidden="false" customHeight="true" outlineLevel="0" collapsed="false">
      <c r="A89" s="6" t="n">
        <v>1088</v>
      </c>
      <c r="B89" s="6" t="s">
        <v>184</v>
      </c>
      <c r="C89" s="6" t="n">
        <v>1</v>
      </c>
      <c r="D89" s="6" t="s">
        <v>371</v>
      </c>
      <c r="E89" s="6" t="s">
        <v>372</v>
      </c>
      <c r="F89" s="6" t="s">
        <v>373</v>
      </c>
      <c r="G89" s="6" t="s">
        <v>268</v>
      </c>
      <c r="H89" s="6" t="n">
        <v>4</v>
      </c>
      <c r="I89" s="6" t="s">
        <v>283</v>
      </c>
      <c r="J89" s="6" t="n">
        <v>8</v>
      </c>
      <c r="K89" s="6" t="n">
        <v>180</v>
      </c>
      <c r="L89" s="6" t="s">
        <v>270</v>
      </c>
      <c r="M89" s="7" t="s">
        <v>531</v>
      </c>
      <c r="N89" s="6" t="s">
        <v>94</v>
      </c>
      <c r="O89" s="6" t="s">
        <v>375</v>
      </c>
      <c r="P89" s="6" t="s">
        <v>376</v>
      </c>
      <c r="Q89" s="6" t="s">
        <v>274</v>
      </c>
      <c r="R89" s="6" t="s">
        <v>275</v>
      </c>
      <c r="S89" s="6" t="s">
        <v>377</v>
      </c>
      <c r="T89" s="6" t="s">
        <v>279</v>
      </c>
      <c r="U89" s="6" t="s">
        <v>378</v>
      </c>
      <c r="V89" s="6" t="s">
        <v>277</v>
      </c>
    </row>
    <row r="90" customFormat="false" ht="33.75" hidden="false" customHeight="true" outlineLevel="0" collapsed="false">
      <c r="A90" s="6" t="n">
        <v>1089</v>
      </c>
      <c r="B90" s="6" t="s">
        <v>184</v>
      </c>
      <c r="C90" s="6" t="n">
        <v>2</v>
      </c>
      <c r="D90" s="6" t="s">
        <v>265</v>
      </c>
      <c r="E90" s="6" t="s">
        <v>266</v>
      </c>
      <c r="F90" s="6" t="s">
        <v>267</v>
      </c>
      <c r="G90" s="6" t="s">
        <v>268</v>
      </c>
      <c r="H90" s="6" t="n">
        <v>4</v>
      </c>
      <c r="I90" s="6" t="s">
        <v>283</v>
      </c>
      <c r="J90" s="6" t="n">
        <v>8</v>
      </c>
      <c r="K90" s="6" t="n">
        <v>180</v>
      </c>
      <c r="L90" s="6" t="s">
        <v>270</v>
      </c>
      <c r="M90" s="7" t="s">
        <v>271</v>
      </c>
      <c r="N90" s="6" t="s">
        <v>94</v>
      </c>
      <c r="O90" s="6" t="s">
        <v>272</v>
      </c>
      <c r="P90" s="6" t="s">
        <v>273</v>
      </c>
      <c r="Q90" s="6" t="s">
        <v>274</v>
      </c>
      <c r="R90" s="6" t="s">
        <v>275</v>
      </c>
      <c r="S90" s="6" t="s">
        <v>276</v>
      </c>
      <c r="T90" s="6" t="s">
        <v>277</v>
      </c>
      <c r="U90" s="6" t="s">
        <v>278</v>
      </c>
      <c r="V90" s="6" t="s">
        <v>279</v>
      </c>
    </row>
    <row r="91" customFormat="false" ht="33.75" hidden="false" customHeight="true" outlineLevel="0" collapsed="false">
      <c r="A91" s="6" t="n">
        <v>1090</v>
      </c>
      <c r="B91" s="6" t="s">
        <v>184</v>
      </c>
      <c r="C91" s="6" t="n">
        <v>3</v>
      </c>
      <c r="D91" s="6" t="s">
        <v>388</v>
      </c>
      <c r="E91" s="6" t="s">
        <v>372</v>
      </c>
      <c r="F91" s="6" t="s">
        <v>389</v>
      </c>
      <c r="G91" s="6" t="s">
        <v>279</v>
      </c>
      <c r="H91" s="6" t="n">
        <v>3</v>
      </c>
      <c r="I91" s="6" t="s">
        <v>310</v>
      </c>
      <c r="J91" s="6" t="n">
        <v>8.5</v>
      </c>
      <c r="K91" s="6" t="n">
        <v>120</v>
      </c>
      <c r="L91" s="6" t="s">
        <v>320</v>
      </c>
      <c r="M91" s="7" t="s">
        <v>390</v>
      </c>
      <c r="N91" s="6" t="s">
        <v>94</v>
      </c>
      <c r="O91" s="6" t="s">
        <v>375</v>
      </c>
      <c r="P91" s="6" t="s">
        <v>376</v>
      </c>
      <c r="Q91" s="6" t="s">
        <v>274</v>
      </c>
      <c r="R91" s="6" t="s">
        <v>275</v>
      </c>
      <c r="S91" s="6" t="s">
        <v>391</v>
      </c>
      <c r="T91" s="6" t="s">
        <v>279</v>
      </c>
      <c r="U91" s="6" t="s">
        <v>371</v>
      </c>
      <c r="V91" s="6" t="s">
        <v>268</v>
      </c>
    </row>
    <row r="92" customFormat="false" ht="33.75" hidden="false" customHeight="true" outlineLevel="0" collapsed="false">
      <c r="A92" s="6" t="n">
        <v>1091</v>
      </c>
      <c r="B92" s="6" t="s">
        <v>184</v>
      </c>
      <c r="C92" s="6" t="n">
        <v>4</v>
      </c>
      <c r="D92" s="6" t="s">
        <v>288</v>
      </c>
      <c r="E92" s="6" t="s">
        <v>281</v>
      </c>
      <c r="F92" s="6" t="s">
        <v>282</v>
      </c>
      <c r="G92" s="6" t="s">
        <v>277</v>
      </c>
      <c r="H92" s="6" t="n">
        <v>3</v>
      </c>
      <c r="I92" s="6" t="s">
        <v>382</v>
      </c>
      <c r="J92" s="6" t="n">
        <v>8.5</v>
      </c>
      <c r="K92" s="6" t="n">
        <v>120</v>
      </c>
      <c r="L92" s="6" t="s">
        <v>334</v>
      </c>
      <c r="M92" s="7" t="s">
        <v>413</v>
      </c>
      <c r="N92" s="6" t="s">
        <v>94</v>
      </c>
      <c r="O92" s="6" t="s">
        <v>286</v>
      </c>
      <c r="P92" s="6" t="s">
        <v>287</v>
      </c>
      <c r="Q92" s="6" t="s">
        <v>274</v>
      </c>
      <c r="R92" s="6" t="s">
        <v>275</v>
      </c>
      <c r="S92" s="6" t="s">
        <v>280</v>
      </c>
      <c r="T92" s="6" t="s">
        <v>268</v>
      </c>
      <c r="U92" s="6" t="s">
        <v>289</v>
      </c>
      <c r="V92" s="6" t="s">
        <v>279</v>
      </c>
    </row>
    <row r="93" customFormat="false" ht="33.75" hidden="false" customHeight="true" outlineLevel="0" collapsed="false">
      <c r="A93" s="6" t="n">
        <v>1092</v>
      </c>
      <c r="B93" s="6" t="s">
        <v>184</v>
      </c>
      <c r="C93" s="6" t="n">
        <v>5</v>
      </c>
      <c r="D93" s="6" t="s">
        <v>483</v>
      </c>
      <c r="E93" s="6" t="s">
        <v>484</v>
      </c>
      <c r="F93" s="6" t="s">
        <v>485</v>
      </c>
      <c r="G93" s="6" t="s">
        <v>279</v>
      </c>
      <c r="H93" s="6" t="n">
        <v>3</v>
      </c>
      <c r="I93" s="6" t="s">
        <v>301</v>
      </c>
      <c r="J93" s="6" t="n">
        <v>9</v>
      </c>
      <c r="K93" s="6" t="n">
        <v>75</v>
      </c>
      <c r="L93" s="6" t="s">
        <v>302</v>
      </c>
      <c r="M93" s="7" t="s">
        <v>486</v>
      </c>
      <c r="N93" s="6" t="s">
        <v>94</v>
      </c>
      <c r="O93" s="6" t="s">
        <v>487</v>
      </c>
      <c r="P93" s="6" t="s">
        <v>376</v>
      </c>
      <c r="Q93" s="6" t="s">
        <v>275</v>
      </c>
      <c r="R93" s="6" t="s">
        <v>275</v>
      </c>
      <c r="S93" s="6" t="s">
        <v>488</v>
      </c>
      <c r="T93" s="6" t="s">
        <v>318</v>
      </c>
      <c r="U93" s="6" t="s">
        <v>489</v>
      </c>
      <c r="V93" s="6" t="s">
        <v>318</v>
      </c>
    </row>
    <row r="94" customFormat="false" ht="33.75" hidden="false" customHeight="true" outlineLevel="0" collapsed="false">
      <c r="A94" s="6" t="n">
        <v>1093</v>
      </c>
      <c r="B94" s="6" t="s">
        <v>184</v>
      </c>
      <c r="C94" s="6" t="n">
        <v>6</v>
      </c>
      <c r="D94" s="6" t="s">
        <v>297</v>
      </c>
      <c r="E94" s="6" t="s">
        <v>298</v>
      </c>
      <c r="F94" s="6" t="s">
        <v>299</v>
      </c>
      <c r="G94" s="6" t="s">
        <v>300</v>
      </c>
      <c r="H94" s="6" t="n">
        <v>3</v>
      </c>
      <c r="I94" s="6" t="s">
        <v>301</v>
      </c>
      <c r="J94" s="6" t="n">
        <v>9</v>
      </c>
      <c r="K94" s="6" t="n">
        <v>60</v>
      </c>
      <c r="L94" s="6" t="s">
        <v>302</v>
      </c>
      <c r="M94" s="7" t="s">
        <v>303</v>
      </c>
      <c r="N94" s="6" t="s">
        <v>94</v>
      </c>
      <c r="O94" s="6" t="s">
        <v>304</v>
      </c>
      <c r="P94" s="6" t="s">
        <v>287</v>
      </c>
      <c r="Q94" s="6" t="s">
        <v>275</v>
      </c>
      <c r="R94" s="6" t="s">
        <v>274</v>
      </c>
      <c r="S94" s="6" t="s">
        <v>305</v>
      </c>
      <c r="T94" s="6" t="s">
        <v>277</v>
      </c>
      <c r="U94" s="6" t="s">
        <v>306</v>
      </c>
      <c r="V94" s="6" t="s">
        <v>279</v>
      </c>
    </row>
    <row r="95" customFormat="false" ht="33.75" hidden="false" customHeight="true" outlineLevel="0" collapsed="false">
      <c r="A95" s="6" t="n">
        <v>1094</v>
      </c>
      <c r="B95" s="6" t="s">
        <v>184</v>
      </c>
      <c r="C95" s="6" t="n">
        <v>7</v>
      </c>
      <c r="D95" s="6" t="s">
        <v>434</v>
      </c>
      <c r="E95" s="6" t="s">
        <v>435</v>
      </c>
      <c r="F95" s="6" t="s">
        <v>436</v>
      </c>
      <c r="G95" s="6" t="s">
        <v>300</v>
      </c>
      <c r="H95" s="6" t="n">
        <v>3</v>
      </c>
      <c r="I95" s="6" t="s">
        <v>500</v>
      </c>
      <c r="J95" s="6" t="n">
        <v>9</v>
      </c>
      <c r="K95" s="6" t="n">
        <v>60</v>
      </c>
      <c r="L95" s="6" t="s">
        <v>302</v>
      </c>
      <c r="M95" s="7" t="s">
        <v>437</v>
      </c>
      <c r="N95" s="6" t="s">
        <v>94</v>
      </c>
      <c r="O95" s="6" t="s">
        <v>438</v>
      </c>
      <c r="P95" s="6" t="s">
        <v>313</v>
      </c>
      <c r="Q95" s="6" t="s">
        <v>275</v>
      </c>
      <c r="R95" s="6" t="s">
        <v>275</v>
      </c>
      <c r="S95" s="6" t="s">
        <v>439</v>
      </c>
      <c r="T95" s="6" t="s">
        <v>300</v>
      </c>
      <c r="U95" s="6" t="s">
        <v>440</v>
      </c>
      <c r="V95" s="6" t="s">
        <v>318</v>
      </c>
    </row>
    <row r="96" customFormat="false" ht="33.75" hidden="false" customHeight="true" outlineLevel="0" collapsed="false">
      <c r="A96" s="6" t="n">
        <v>1095</v>
      </c>
      <c r="B96" s="6" t="s">
        <v>188</v>
      </c>
      <c r="C96" s="6" t="n">
        <v>1</v>
      </c>
      <c r="D96" s="6" t="s">
        <v>473</v>
      </c>
      <c r="E96" s="6" t="s">
        <v>372</v>
      </c>
      <c r="F96" s="6" t="s">
        <v>532</v>
      </c>
      <c r="G96" s="6" t="s">
        <v>268</v>
      </c>
      <c r="H96" s="6" t="n">
        <v>4</v>
      </c>
      <c r="I96" s="6" t="s">
        <v>471</v>
      </c>
      <c r="J96" s="6" t="n">
        <v>8</v>
      </c>
      <c r="K96" s="6" t="n">
        <v>240</v>
      </c>
      <c r="L96" s="6" t="s">
        <v>284</v>
      </c>
      <c r="M96" s="7" t="s">
        <v>533</v>
      </c>
      <c r="N96" s="6" t="s">
        <v>94</v>
      </c>
      <c r="O96" s="6" t="s">
        <v>384</v>
      </c>
      <c r="P96" s="6" t="s">
        <v>385</v>
      </c>
      <c r="Q96" s="6" t="s">
        <v>274</v>
      </c>
      <c r="R96" s="6" t="s">
        <v>275</v>
      </c>
      <c r="S96" s="6" t="s">
        <v>468</v>
      </c>
      <c r="T96" s="6" t="s">
        <v>268</v>
      </c>
      <c r="U96" s="6" t="s">
        <v>388</v>
      </c>
      <c r="V96" s="6" t="s">
        <v>279</v>
      </c>
    </row>
    <row r="97" customFormat="false" ht="33.75" hidden="false" customHeight="true" outlineLevel="0" collapsed="false">
      <c r="A97" s="6" t="n">
        <v>1096</v>
      </c>
      <c r="B97" s="6" t="s">
        <v>188</v>
      </c>
      <c r="C97" s="6" t="n">
        <v>2</v>
      </c>
      <c r="D97" s="6" t="s">
        <v>331</v>
      </c>
      <c r="E97" s="6" t="s">
        <v>324</v>
      </c>
      <c r="F97" s="6" t="s">
        <v>332</v>
      </c>
      <c r="G97" s="6" t="s">
        <v>318</v>
      </c>
      <c r="H97" s="6" t="n">
        <v>4</v>
      </c>
      <c r="I97" s="6" t="s">
        <v>283</v>
      </c>
      <c r="J97" s="6" t="n">
        <v>8.5</v>
      </c>
      <c r="K97" s="6" t="n">
        <v>150</v>
      </c>
      <c r="L97" s="6" t="s">
        <v>334</v>
      </c>
      <c r="M97" s="7" t="s">
        <v>335</v>
      </c>
      <c r="N97" s="6" t="s">
        <v>94</v>
      </c>
      <c r="O97" s="6" t="s">
        <v>336</v>
      </c>
      <c r="P97" s="6" t="s">
        <v>328</v>
      </c>
      <c r="Q97" s="6" t="s">
        <v>274</v>
      </c>
      <c r="R97" s="6" t="s">
        <v>275</v>
      </c>
      <c r="S97" s="6" t="s">
        <v>337</v>
      </c>
      <c r="T97" s="6" t="s">
        <v>279</v>
      </c>
      <c r="U97" s="6" t="s">
        <v>338</v>
      </c>
      <c r="V97" s="6" t="s">
        <v>279</v>
      </c>
    </row>
    <row r="98" customFormat="false" ht="33.75" hidden="false" customHeight="true" outlineLevel="0" collapsed="false">
      <c r="A98" s="6" t="n">
        <v>1097</v>
      </c>
      <c r="B98" s="6" t="s">
        <v>188</v>
      </c>
      <c r="C98" s="6" t="n">
        <v>3</v>
      </c>
      <c r="D98" s="6" t="s">
        <v>323</v>
      </c>
      <c r="E98" s="6" t="s">
        <v>324</v>
      </c>
      <c r="F98" s="6" t="s">
        <v>325</v>
      </c>
      <c r="G98" s="6" t="s">
        <v>268</v>
      </c>
      <c r="H98" s="6" t="n">
        <v>3</v>
      </c>
      <c r="I98" s="6" t="s">
        <v>382</v>
      </c>
      <c r="J98" s="6" t="n">
        <v>8.5</v>
      </c>
      <c r="K98" s="6" t="n">
        <v>120</v>
      </c>
      <c r="L98" s="6" t="s">
        <v>320</v>
      </c>
      <c r="M98" s="7" t="s">
        <v>326</v>
      </c>
      <c r="N98" s="6" t="s">
        <v>94</v>
      </c>
      <c r="O98" s="6" t="s">
        <v>327</v>
      </c>
      <c r="P98" s="6" t="s">
        <v>328</v>
      </c>
      <c r="Q98" s="6" t="s">
        <v>274</v>
      </c>
      <c r="R98" s="6" t="s">
        <v>275</v>
      </c>
      <c r="S98" s="6" t="s">
        <v>329</v>
      </c>
      <c r="T98" s="6" t="s">
        <v>279</v>
      </c>
      <c r="U98" s="6" t="s">
        <v>330</v>
      </c>
      <c r="V98" s="6" t="s">
        <v>277</v>
      </c>
    </row>
    <row r="99" customFormat="false" ht="33.75" hidden="false" customHeight="true" outlineLevel="0" collapsed="false">
      <c r="A99" s="6" t="n">
        <v>1098</v>
      </c>
      <c r="B99" s="6" t="s">
        <v>188</v>
      </c>
      <c r="C99" s="6" t="n">
        <v>4</v>
      </c>
      <c r="D99" s="6" t="s">
        <v>398</v>
      </c>
      <c r="E99" s="6" t="s">
        <v>380</v>
      </c>
      <c r="F99" s="6" t="s">
        <v>399</v>
      </c>
      <c r="G99" s="6" t="s">
        <v>279</v>
      </c>
      <c r="H99" s="6" t="n">
        <v>3</v>
      </c>
      <c r="I99" s="6" t="s">
        <v>310</v>
      </c>
      <c r="J99" s="6" t="n">
        <v>9</v>
      </c>
      <c r="K99" s="6" t="n">
        <v>90</v>
      </c>
      <c r="L99" s="6" t="s">
        <v>270</v>
      </c>
      <c r="M99" s="7" t="s">
        <v>400</v>
      </c>
      <c r="N99" s="6" t="s">
        <v>94</v>
      </c>
      <c r="O99" s="6" t="s">
        <v>401</v>
      </c>
      <c r="P99" s="6" t="s">
        <v>385</v>
      </c>
      <c r="Q99" s="6" t="s">
        <v>275</v>
      </c>
      <c r="R99" s="6" t="s">
        <v>275</v>
      </c>
      <c r="S99" s="6" t="s">
        <v>402</v>
      </c>
      <c r="T99" s="6" t="s">
        <v>279</v>
      </c>
      <c r="U99" s="6" t="s">
        <v>403</v>
      </c>
      <c r="V99" s="6" t="s">
        <v>318</v>
      </c>
    </row>
    <row r="100" customFormat="false" ht="33.75" hidden="false" customHeight="true" outlineLevel="0" collapsed="false">
      <c r="A100" s="6" t="n">
        <v>1099</v>
      </c>
      <c r="B100" s="6" t="s">
        <v>188</v>
      </c>
      <c r="C100" s="6" t="n">
        <v>5</v>
      </c>
      <c r="D100" s="6" t="s">
        <v>387</v>
      </c>
      <c r="E100" s="6" t="s">
        <v>475</v>
      </c>
      <c r="F100" s="6" t="s">
        <v>490</v>
      </c>
      <c r="G100" s="6" t="s">
        <v>279</v>
      </c>
      <c r="H100" s="6" t="n">
        <v>3</v>
      </c>
      <c r="I100" s="6" t="s">
        <v>301</v>
      </c>
      <c r="J100" s="6" t="n">
        <v>9</v>
      </c>
      <c r="K100" s="6" t="n">
        <v>75</v>
      </c>
      <c r="L100" s="6" t="s">
        <v>302</v>
      </c>
      <c r="M100" s="7" t="s">
        <v>491</v>
      </c>
      <c r="N100" s="6" t="s">
        <v>94</v>
      </c>
      <c r="O100" s="6" t="s">
        <v>384</v>
      </c>
      <c r="P100" s="6" t="s">
        <v>479</v>
      </c>
      <c r="Q100" s="6" t="s">
        <v>275</v>
      </c>
      <c r="R100" s="6" t="s">
        <v>275</v>
      </c>
      <c r="S100" s="6" t="s">
        <v>492</v>
      </c>
      <c r="T100" s="6" t="s">
        <v>300</v>
      </c>
      <c r="U100" s="6" t="s">
        <v>379</v>
      </c>
      <c r="V100" s="6" t="s">
        <v>268</v>
      </c>
    </row>
    <row r="101" customFormat="false" ht="33.75" hidden="false" customHeight="true" outlineLevel="0" collapsed="false">
      <c r="A101" s="6" t="n">
        <v>1100</v>
      </c>
      <c r="B101" s="6" t="s">
        <v>188</v>
      </c>
      <c r="C101" s="6" t="n">
        <v>6</v>
      </c>
      <c r="D101" s="6" t="s">
        <v>349</v>
      </c>
      <c r="E101" s="6" t="s">
        <v>344</v>
      </c>
      <c r="F101" s="6" t="s">
        <v>448</v>
      </c>
      <c r="G101" s="6" t="s">
        <v>279</v>
      </c>
      <c r="H101" s="6" t="n">
        <v>3</v>
      </c>
      <c r="I101" s="6" t="s">
        <v>346</v>
      </c>
      <c r="J101" s="6" t="n">
        <v>9</v>
      </c>
      <c r="K101" s="6" t="n">
        <v>60</v>
      </c>
      <c r="L101" s="6" t="s">
        <v>302</v>
      </c>
      <c r="M101" s="7" t="s">
        <v>449</v>
      </c>
      <c r="N101" s="6" t="s">
        <v>94</v>
      </c>
      <c r="O101" s="6" t="s">
        <v>348</v>
      </c>
      <c r="P101" s="6" t="s">
        <v>287</v>
      </c>
      <c r="Q101" s="6" t="s">
        <v>275</v>
      </c>
      <c r="R101" s="6" t="s">
        <v>275</v>
      </c>
      <c r="S101" s="6" t="s">
        <v>450</v>
      </c>
      <c r="T101" s="6" t="s">
        <v>277</v>
      </c>
      <c r="U101" s="6" t="s">
        <v>451</v>
      </c>
      <c r="V101" s="6" t="s">
        <v>300</v>
      </c>
    </row>
    <row r="102" customFormat="false" ht="33.75" hidden="false" customHeight="true" outlineLevel="0" collapsed="false">
      <c r="A102" s="6" t="n">
        <v>1101</v>
      </c>
      <c r="B102" s="6" t="s">
        <v>188</v>
      </c>
      <c r="C102" s="6" t="n">
        <v>7</v>
      </c>
      <c r="D102" s="6" t="s">
        <v>357</v>
      </c>
      <c r="E102" s="6" t="s">
        <v>358</v>
      </c>
      <c r="F102" s="6" t="s">
        <v>359</v>
      </c>
      <c r="G102" s="6" t="s">
        <v>277</v>
      </c>
      <c r="H102" s="6" t="n">
        <v>3</v>
      </c>
      <c r="I102" s="6" t="s">
        <v>310</v>
      </c>
      <c r="J102" s="6" t="n">
        <v>9</v>
      </c>
      <c r="K102" s="6" t="n">
        <v>60</v>
      </c>
      <c r="L102" s="6" t="s">
        <v>334</v>
      </c>
      <c r="M102" s="7" t="s">
        <v>360</v>
      </c>
      <c r="N102" s="6" t="s">
        <v>94</v>
      </c>
      <c r="O102" s="6" t="s">
        <v>361</v>
      </c>
      <c r="P102" s="6" t="s">
        <v>362</v>
      </c>
      <c r="Q102" s="6" t="s">
        <v>275</v>
      </c>
      <c r="R102" s="6" t="s">
        <v>275</v>
      </c>
      <c r="S102" s="6" t="s">
        <v>363</v>
      </c>
      <c r="T102" s="6" t="s">
        <v>300</v>
      </c>
      <c r="U102" s="6" t="s">
        <v>364</v>
      </c>
      <c r="V102" s="6" t="s">
        <v>268</v>
      </c>
    </row>
    <row r="103" customFormat="false" ht="33.75" hidden="false" customHeight="true" outlineLevel="0" collapsed="false">
      <c r="A103" s="6" t="n">
        <v>1102</v>
      </c>
      <c r="B103" s="6" t="s">
        <v>193</v>
      </c>
      <c r="C103" s="6" t="n">
        <v>1</v>
      </c>
      <c r="D103" s="6" t="s">
        <v>534</v>
      </c>
      <c r="E103" s="6" t="s">
        <v>372</v>
      </c>
      <c r="F103" s="6" t="s">
        <v>381</v>
      </c>
      <c r="G103" s="6" t="s">
        <v>268</v>
      </c>
      <c r="H103" s="6" t="n">
        <v>4</v>
      </c>
      <c r="I103" s="6" t="s">
        <v>382</v>
      </c>
      <c r="J103" s="6" t="n">
        <v>8.5</v>
      </c>
      <c r="K103" s="6" t="n">
        <v>150</v>
      </c>
      <c r="L103" s="6" t="s">
        <v>270</v>
      </c>
      <c r="M103" s="7" t="s">
        <v>535</v>
      </c>
      <c r="N103" s="6" t="s">
        <v>94</v>
      </c>
      <c r="O103" s="6" t="s">
        <v>375</v>
      </c>
      <c r="P103" s="6" t="s">
        <v>376</v>
      </c>
      <c r="Q103" s="6" t="s">
        <v>274</v>
      </c>
      <c r="R103" s="6" t="s">
        <v>275</v>
      </c>
      <c r="S103" s="6" t="s">
        <v>377</v>
      </c>
      <c r="T103" s="6" t="s">
        <v>279</v>
      </c>
      <c r="U103" s="6" t="s">
        <v>378</v>
      </c>
      <c r="V103" s="6" t="s">
        <v>277</v>
      </c>
    </row>
    <row r="104" customFormat="false" ht="33.75" hidden="false" customHeight="true" outlineLevel="0" collapsed="false">
      <c r="A104" s="6" t="n">
        <v>1103</v>
      </c>
      <c r="B104" s="6" t="s">
        <v>193</v>
      </c>
      <c r="C104" s="6" t="n">
        <v>2</v>
      </c>
      <c r="D104" s="6" t="s">
        <v>414</v>
      </c>
      <c r="E104" s="6" t="s">
        <v>291</v>
      </c>
      <c r="F104" s="6" t="s">
        <v>267</v>
      </c>
      <c r="G104" s="6" t="s">
        <v>268</v>
      </c>
      <c r="H104" s="6" t="n">
        <v>4</v>
      </c>
      <c r="I104" s="6" t="s">
        <v>382</v>
      </c>
      <c r="J104" s="6" t="n">
        <v>8.5</v>
      </c>
      <c r="K104" s="6" t="n">
        <v>150</v>
      </c>
      <c r="L104" s="6" t="s">
        <v>270</v>
      </c>
      <c r="M104" s="7" t="s">
        <v>415</v>
      </c>
      <c r="N104" s="6" t="s">
        <v>94</v>
      </c>
      <c r="O104" s="6" t="s">
        <v>294</v>
      </c>
      <c r="P104" s="6" t="s">
        <v>273</v>
      </c>
      <c r="Q104" s="6" t="s">
        <v>274</v>
      </c>
      <c r="R104" s="6" t="s">
        <v>275</v>
      </c>
      <c r="S104" s="6" t="s">
        <v>290</v>
      </c>
      <c r="T104" s="6" t="s">
        <v>277</v>
      </c>
      <c r="U104" s="6" t="s">
        <v>416</v>
      </c>
      <c r="V104" s="6" t="s">
        <v>279</v>
      </c>
    </row>
    <row r="105" customFormat="false" ht="33.75" hidden="false" customHeight="true" outlineLevel="0" collapsed="false">
      <c r="A105" s="6" t="n">
        <v>1104</v>
      </c>
      <c r="B105" s="6" t="s">
        <v>193</v>
      </c>
      <c r="C105" s="6" t="n">
        <v>3</v>
      </c>
      <c r="D105" s="6" t="s">
        <v>536</v>
      </c>
      <c r="E105" s="6" t="s">
        <v>372</v>
      </c>
      <c r="F105" s="6" t="s">
        <v>537</v>
      </c>
      <c r="G105" s="6" t="s">
        <v>277</v>
      </c>
      <c r="H105" s="6" t="n">
        <v>3</v>
      </c>
      <c r="I105" s="6" t="s">
        <v>538</v>
      </c>
      <c r="J105" s="6" t="n">
        <v>8.5</v>
      </c>
      <c r="K105" s="6" t="n">
        <v>120</v>
      </c>
      <c r="L105" s="6" t="s">
        <v>284</v>
      </c>
      <c r="M105" s="7" t="s">
        <v>539</v>
      </c>
      <c r="N105" s="6" t="s">
        <v>94</v>
      </c>
      <c r="O105" s="6" t="s">
        <v>395</v>
      </c>
      <c r="P105" s="6" t="s">
        <v>376</v>
      </c>
      <c r="Q105" s="6" t="s">
        <v>274</v>
      </c>
      <c r="R105" s="6" t="s">
        <v>274</v>
      </c>
      <c r="S105" s="6" t="s">
        <v>392</v>
      </c>
      <c r="T105" s="6" t="s">
        <v>277</v>
      </c>
      <c r="U105" s="6" t="s">
        <v>540</v>
      </c>
      <c r="V105" s="6" t="s">
        <v>277</v>
      </c>
    </row>
    <row r="106" customFormat="false" ht="33.75" hidden="false" customHeight="true" outlineLevel="0" collapsed="false">
      <c r="A106" s="6" t="n">
        <v>1105</v>
      </c>
      <c r="B106" s="6" t="s">
        <v>193</v>
      </c>
      <c r="C106" s="6" t="n">
        <v>4</v>
      </c>
      <c r="D106" s="6" t="s">
        <v>417</v>
      </c>
      <c r="E106" s="6" t="s">
        <v>418</v>
      </c>
      <c r="F106" s="6" t="s">
        <v>419</v>
      </c>
      <c r="G106" s="6" t="s">
        <v>318</v>
      </c>
      <c r="H106" s="6" t="n">
        <v>3</v>
      </c>
      <c r="I106" s="6" t="s">
        <v>292</v>
      </c>
      <c r="J106" s="6" t="n">
        <v>8.5</v>
      </c>
      <c r="K106" s="6" t="n">
        <v>120</v>
      </c>
      <c r="L106" s="6" t="s">
        <v>270</v>
      </c>
      <c r="M106" s="7" t="s">
        <v>420</v>
      </c>
      <c r="N106" s="6" t="s">
        <v>94</v>
      </c>
      <c r="O106" s="6" t="s">
        <v>421</v>
      </c>
      <c r="P106" s="6" t="s">
        <v>273</v>
      </c>
      <c r="Q106" s="6" t="s">
        <v>274</v>
      </c>
      <c r="R106" s="6" t="s">
        <v>275</v>
      </c>
      <c r="S106" s="6" t="s">
        <v>422</v>
      </c>
      <c r="T106" s="6" t="s">
        <v>279</v>
      </c>
      <c r="U106" s="6" t="s">
        <v>423</v>
      </c>
      <c r="V106" s="6" t="s">
        <v>277</v>
      </c>
    </row>
    <row r="107" customFormat="false" ht="33.75" hidden="false" customHeight="true" outlineLevel="0" collapsed="false">
      <c r="A107" s="6" t="n">
        <v>1106</v>
      </c>
      <c r="B107" s="6" t="s">
        <v>193</v>
      </c>
      <c r="C107" s="6" t="n">
        <v>5</v>
      </c>
      <c r="D107" s="6" t="s">
        <v>483</v>
      </c>
      <c r="E107" s="6" t="s">
        <v>484</v>
      </c>
      <c r="F107" s="6" t="s">
        <v>485</v>
      </c>
      <c r="G107" s="6" t="s">
        <v>279</v>
      </c>
      <c r="H107" s="6" t="n">
        <v>3</v>
      </c>
      <c r="I107" s="6" t="s">
        <v>346</v>
      </c>
      <c r="J107" s="6" t="n">
        <v>9.5</v>
      </c>
      <c r="K107" s="6" t="n">
        <v>60</v>
      </c>
      <c r="L107" s="6" t="s">
        <v>302</v>
      </c>
      <c r="M107" s="7" t="s">
        <v>486</v>
      </c>
      <c r="N107" s="6" t="s">
        <v>94</v>
      </c>
      <c r="O107" s="6" t="s">
        <v>487</v>
      </c>
      <c r="P107" s="6" t="s">
        <v>376</v>
      </c>
      <c r="Q107" s="6" t="s">
        <v>275</v>
      </c>
      <c r="R107" s="6" t="s">
        <v>275</v>
      </c>
      <c r="S107" s="6" t="s">
        <v>488</v>
      </c>
      <c r="T107" s="6" t="s">
        <v>318</v>
      </c>
      <c r="U107" s="6" t="s">
        <v>489</v>
      </c>
      <c r="V107" s="6" t="s">
        <v>318</v>
      </c>
    </row>
    <row r="108" customFormat="false" ht="33.75" hidden="false" customHeight="true" outlineLevel="0" collapsed="false">
      <c r="A108" s="6" t="n">
        <v>1107</v>
      </c>
      <c r="B108" s="6" t="s">
        <v>193</v>
      </c>
      <c r="C108" s="6" t="n">
        <v>6</v>
      </c>
      <c r="D108" s="6" t="s">
        <v>305</v>
      </c>
      <c r="E108" s="6" t="s">
        <v>298</v>
      </c>
      <c r="F108" s="6" t="s">
        <v>431</v>
      </c>
      <c r="G108" s="6" t="s">
        <v>277</v>
      </c>
      <c r="H108" s="6" t="n">
        <v>4</v>
      </c>
      <c r="I108" s="6" t="s">
        <v>432</v>
      </c>
      <c r="J108" s="6" t="n">
        <v>9.5</v>
      </c>
      <c r="K108" s="6" t="n">
        <v>60</v>
      </c>
      <c r="L108" s="6" t="s">
        <v>302</v>
      </c>
      <c r="M108" s="7" t="s">
        <v>514</v>
      </c>
      <c r="N108" s="6" t="s">
        <v>94</v>
      </c>
      <c r="O108" s="6" t="s">
        <v>304</v>
      </c>
      <c r="P108" s="6" t="s">
        <v>287</v>
      </c>
      <c r="Q108" s="6" t="s">
        <v>275</v>
      </c>
      <c r="R108" s="6" t="s">
        <v>275</v>
      </c>
      <c r="S108" s="6" t="s">
        <v>297</v>
      </c>
      <c r="T108" s="6" t="s">
        <v>300</v>
      </c>
      <c r="U108" s="6" t="s">
        <v>306</v>
      </c>
      <c r="V108" s="6" t="s">
        <v>279</v>
      </c>
    </row>
    <row r="109" customFormat="false" ht="33.75" hidden="false" customHeight="true" outlineLevel="0" collapsed="false">
      <c r="A109" s="6" t="n">
        <v>1108</v>
      </c>
      <c r="B109" s="6" t="s">
        <v>193</v>
      </c>
      <c r="C109" s="6" t="n">
        <v>7</v>
      </c>
      <c r="D109" s="6" t="s">
        <v>497</v>
      </c>
      <c r="E109" s="6" t="s">
        <v>498</v>
      </c>
      <c r="F109" s="6" t="s">
        <v>499</v>
      </c>
      <c r="G109" s="6" t="s">
        <v>318</v>
      </c>
      <c r="H109" s="6" t="n">
        <v>3</v>
      </c>
      <c r="I109" s="6" t="s">
        <v>500</v>
      </c>
      <c r="J109" s="6" t="n">
        <v>9</v>
      </c>
      <c r="K109" s="6" t="n">
        <v>60</v>
      </c>
      <c r="L109" s="6" t="s">
        <v>302</v>
      </c>
      <c r="M109" s="7" t="s">
        <v>501</v>
      </c>
      <c r="N109" s="6" t="s">
        <v>94</v>
      </c>
      <c r="O109" s="6" t="s">
        <v>502</v>
      </c>
      <c r="P109" s="6" t="s">
        <v>503</v>
      </c>
      <c r="Q109" s="6" t="s">
        <v>275</v>
      </c>
      <c r="R109" s="6" t="s">
        <v>275</v>
      </c>
      <c r="S109" s="6" t="s">
        <v>504</v>
      </c>
      <c r="T109" s="6" t="s">
        <v>279</v>
      </c>
      <c r="U109" s="6" t="s">
        <v>505</v>
      </c>
      <c r="V109" s="6" t="s">
        <v>318</v>
      </c>
    </row>
    <row r="110" customFormat="false" ht="33.75" hidden="false" customHeight="true" outlineLevel="0" collapsed="false">
      <c r="A110" s="6" t="n">
        <v>1109</v>
      </c>
      <c r="B110" s="6" t="s">
        <v>198</v>
      </c>
      <c r="C110" s="6" t="n">
        <v>1</v>
      </c>
      <c r="D110" s="6" t="s">
        <v>379</v>
      </c>
      <c r="E110" s="6" t="s">
        <v>380</v>
      </c>
      <c r="F110" s="6" t="s">
        <v>381</v>
      </c>
      <c r="G110" s="6" t="s">
        <v>268</v>
      </c>
      <c r="H110" s="6" t="n">
        <v>4</v>
      </c>
      <c r="I110" s="6" t="s">
        <v>382</v>
      </c>
      <c r="J110" s="6" t="n">
        <v>8</v>
      </c>
      <c r="K110" s="6" t="n">
        <v>150</v>
      </c>
      <c r="L110" s="6" t="s">
        <v>270</v>
      </c>
      <c r="M110" s="7" t="s">
        <v>383</v>
      </c>
      <c r="N110" s="6" t="s">
        <v>94</v>
      </c>
      <c r="O110" s="6" t="s">
        <v>384</v>
      </c>
      <c r="P110" s="6" t="s">
        <v>385</v>
      </c>
      <c r="Q110" s="6" t="s">
        <v>274</v>
      </c>
      <c r="R110" s="6" t="s">
        <v>275</v>
      </c>
      <c r="S110" s="6" t="s">
        <v>386</v>
      </c>
      <c r="T110" s="6" t="s">
        <v>277</v>
      </c>
      <c r="U110" s="6" t="s">
        <v>387</v>
      </c>
      <c r="V110" s="6" t="s">
        <v>279</v>
      </c>
    </row>
    <row r="111" customFormat="false" ht="33.75" hidden="false" customHeight="true" outlineLevel="0" collapsed="false">
      <c r="A111" s="6" t="n">
        <v>1110</v>
      </c>
      <c r="B111" s="6" t="s">
        <v>198</v>
      </c>
      <c r="C111" s="6" t="n">
        <v>2</v>
      </c>
      <c r="D111" s="6" t="s">
        <v>329</v>
      </c>
      <c r="E111" s="6" t="s">
        <v>340</v>
      </c>
      <c r="F111" s="6" t="s">
        <v>341</v>
      </c>
      <c r="G111" s="6" t="s">
        <v>279</v>
      </c>
      <c r="H111" s="6" t="n">
        <v>4</v>
      </c>
      <c r="I111" s="6" t="s">
        <v>382</v>
      </c>
      <c r="J111" s="6" t="n">
        <v>8.5</v>
      </c>
      <c r="K111" s="6" t="n">
        <v>120</v>
      </c>
      <c r="L111" s="6" t="s">
        <v>320</v>
      </c>
      <c r="M111" s="7" t="s">
        <v>443</v>
      </c>
      <c r="N111" s="6" t="s">
        <v>94</v>
      </c>
      <c r="O111" s="6" t="s">
        <v>327</v>
      </c>
      <c r="P111" s="6" t="s">
        <v>328</v>
      </c>
      <c r="Q111" s="6" t="s">
        <v>274</v>
      </c>
      <c r="R111" s="6" t="s">
        <v>275</v>
      </c>
      <c r="S111" s="6" t="s">
        <v>444</v>
      </c>
      <c r="T111" s="6" t="s">
        <v>300</v>
      </c>
      <c r="U111" s="6" t="s">
        <v>445</v>
      </c>
      <c r="V111" s="6" t="s">
        <v>277</v>
      </c>
    </row>
    <row r="112" customFormat="false" ht="33.75" hidden="false" customHeight="true" outlineLevel="0" collapsed="false">
      <c r="A112" s="6" t="n">
        <v>1111</v>
      </c>
      <c r="B112" s="6" t="s">
        <v>198</v>
      </c>
      <c r="C112" s="6" t="n">
        <v>3</v>
      </c>
      <c r="D112" s="6" t="s">
        <v>474</v>
      </c>
      <c r="E112" s="6" t="s">
        <v>475</v>
      </c>
      <c r="F112" s="6" t="s">
        <v>476</v>
      </c>
      <c r="G112" s="6" t="s">
        <v>268</v>
      </c>
      <c r="H112" s="6" t="n">
        <v>3</v>
      </c>
      <c r="I112" s="6" t="s">
        <v>310</v>
      </c>
      <c r="J112" s="6" t="n">
        <v>8.5</v>
      </c>
      <c r="K112" s="6" t="n">
        <v>120</v>
      </c>
      <c r="L112" s="6" t="s">
        <v>455</v>
      </c>
      <c r="M112" s="7" t="s">
        <v>477</v>
      </c>
      <c r="N112" s="6" t="s">
        <v>94</v>
      </c>
      <c r="O112" s="6" t="s">
        <v>478</v>
      </c>
      <c r="P112" s="6" t="s">
        <v>479</v>
      </c>
      <c r="Q112" s="6" t="s">
        <v>274</v>
      </c>
      <c r="R112" s="6" t="s">
        <v>275</v>
      </c>
      <c r="S112" s="6" t="s">
        <v>480</v>
      </c>
      <c r="T112" s="6" t="s">
        <v>279</v>
      </c>
      <c r="U112" s="6" t="s">
        <v>481</v>
      </c>
      <c r="V112" s="6" t="s">
        <v>268</v>
      </c>
    </row>
    <row r="113" customFormat="false" ht="33.75" hidden="false" customHeight="true" outlineLevel="0" collapsed="false">
      <c r="A113" s="6" t="n">
        <v>1112</v>
      </c>
      <c r="B113" s="6" t="s">
        <v>198</v>
      </c>
      <c r="C113" s="6" t="n">
        <v>4</v>
      </c>
      <c r="D113" s="6" t="s">
        <v>441</v>
      </c>
      <c r="E113" s="6" t="s">
        <v>324</v>
      </c>
      <c r="F113" s="6" t="s">
        <v>332</v>
      </c>
      <c r="G113" s="6" t="s">
        <v>279</v>
      </c>
      <c r="H113" s="6" t="n">
        <v>3</v>
      </c>
      <c r="I113" s="6" t="s">
        <v>310</v>
      </c>
      <c r="J113" s="6" t="n">
        <v>8.5</v>
      </c>
      <c r="K113" s="6" t="n">
        <v>90</v>
      </c>
      <c r="L113" s="6" t="s">
        <v>334</v>
      </c>
      <c r="M113" s="7" t="s">
        <v>442</v>
      </c>
      <c r="N113" s="6" t="s">
        <v>94</v>
      </c>
      <c r="O113" s="6" t="s">
        <v>336</v>
      </c>
      <c r="P113" s="6" t="s">
        <v>328</v>
      </c>
      <c r="Q113" s="6" t="s">
        <v>274</v>
      </c>
      <c r="R113" s="6" t="s">
        <v>275</v>
      </c>
      <c r="S113" s="6" t="s">
        <v>331</v>
      </c>
      <c r="T113" s="6" t="s">
        <v>318</v>
      </c>
      <c r="U113" s="6" t="s">
        <v>338</v>
      </c>
      <c r="V113" s="6" t="s">
        <v>279</v>
      </c>
    </row>
    <row r="114" customFormat="false" ht="33.75" hidden="false" customHeight="true" outlineLevel="0" collapsed="false">
      <c r="A114" s="6" t="n">
        <v>1113</v>
      </c>
      <c r="B114" s="6" t="s">
        <v>198</v>
      </c>
      <c r="C114" s="6" t="n">
        <v>5</v>
      </c>
      <c r="D114" s="6" t="s">
        <v>402</v>
      </c>
      <c r="E114" s="6" t="s">
        <v>380</v>
      </c>
      <c r="F114" s="6" t="s">
        <v>405</v>
      </c>
      <c r="G114" s="6" t="s">
        <v>279</v>
      </c>
      <c r="H114" s="6" t="n">
        <v>3</v>
      </c>
      <c r="I114" s="6" t="s">
        <v>301</v>
      </c>
      <c r="J114" s="6" t="n">
        <v>9</v>
      </c>
      <c r="K114" s="6" t="n">
        <v>75</v>
      </c>
      <c r="L114" s="6" t="s">
        <v>270</v>
      </c>
      <c r="M114" s="7" t="s">
        <v>482</v>
      </c>
      <c r="N114" s="6" t="s">
        <v>94</v>
      </c>
      <c r="O114" s="6" t="s">
        <v>401</v>
      </c>
      <c r="P114" s="6" t="s">
        <v>385</v>
      </c>
      <c r="Q114" s="6" t="s">
        <v>275</v>
      </c>
      <c r="R114" s="6" t="s">
        <v>275</v>
      </c>
      <c r="S114" s="6" t="s">
        <v>398</v>
      </c>
      <c r="T114" s="6" t="s">
        <v>279</v>
      </c>
      <c r="U114" s="6" t="s">
        <v>403</v>
      </c>
      <c r="V114" s="6" t="s">
        <v>318</v>
      </c>
    </row>
    <row r="115" customFormat="false" ht="33.75" hidden="false" customHeight="true" outlineLevel="0" collapsed="false">
      <c r="A115" s="6" t="n">
        <v>1114</v>
      </c>
      <c r="B115" s="6" t="s">
        <v>198</v>
      </c>
      <c r="C115" s="6" t="n">
        <v>6</v>
      </c>
      <c r="D115" s="6" t="s">
        <v>343</v>
      </c>
      <c r="E115" s="6" t="s">
        <v>344</v>
      </c>
      <c r="F115" s="6" t="s">
        <v>345</v>
      </c>
      <c r="G115" s="6" t="s">
        <v>300</v>
      </c>
      <c r="H115" s="6" t="n">
        <v>3</v>
      </c>
      <c r="I115" s="6" t="s">
        <v>346</v>
      </c>
      <c r="J115" s="6" t="n">
        <v>9</v>
      </c>
      <c r="K115" s="6" t="n">
        <v>60</v>
      </c>
      <c r="L115" s="6" t="s">
        <v>302</v>
      </c>
      <c r="M115" s="7" t="s">
        <v>347</v>
      </c>
      <c r="N115" s="6" t="s">
        <v>94</v>
      </c>
      <c r="O115" s="6" t="s">
        <v>348</v>
      </c>
      <c r="P115" s="6" t="s">
        <v>287</v>
      </c>
      <c r="Q115" s="6" t="s">
        <v>275</v>
      </c>
      <c r="R115" s="6" t="s">
        <v>275</v>
      </c>
      <c r="S115" s="6" t="s">
        <v>349</v>
      </c>
      <c r="T115" s="6" t="s">
        <v>279</v>
      </c>
      <c r="U115" s="6" t="s">
        <v>350</v>
      </c>
      <c r="V115" s="6" t="s">
        <v>318</v>
      </c>
    </row>
    <row r="116" customFormat="false" ht="33.75" hidden="false" customHeight="true" outlineLevel="0" collapsed="false">
      <c r="A116" s="6" t="n">
        <v>1115</v>
      </c>
      <c r="B116" s="6" t="s">
        <v>198</v>
      </c>
      <c r="C116" s="6" t="n">
        <v>7</v>
      </c>
      <c r="D116" s="6" t="s">
        <v>365</v>
      </c>
      <c r="E116" s="6" t="s">
        <v>359</v>
      </c>
      <c r="F116" s="6" t="s">
        <v>366</v>
      </c>
      <c r="G116" s="6" t="s">
        <v>277</v>
      </c>
      <c r="H116" s="6" t="n">
        <v>3</v>
      </c>
      <c r="I116" s="6" t="s">
        <v>301</v>
      </c>
      <c r="J116" s="6" t="n">
        <v>9.5</v>
      </c>
      <c r="K116" s="6" t="n">
        <v>60</v>
      </c>
      <c r="L116" s="6" t="s">
        <v>284</v>
      </c>
      <c r="M116" s="7" t="s">
        <v>367</v>
      </c>
      <c r="N116" s="6" t="s">
        <v>94</v>
      </c>
      <c r="O116" s="6" t="s">
        <v>368</v>
      </c>
      <c r="P116" s="6" t="s">
        <v>362</v>
      </c>
      <c r="Q116" s="6" t="s">
        <v>275</v>
      </c>
      <c r="R116" s="6" t="s">
        <v>275</v>
      </c>
      <c r="S116" s="6" t="s">
        <v>369</v>
      </c>
      <c r="T116" s="6" t="s">
        <v>300</v>
      </c>
      <c r="U116" s="6" t="s">
        <v>370</v>
      </c>
      <c r="V116" s="6" t="s">
        <v>268</v>
      </c>
    </row>
    <row r="117" customFormat="false" ht="33.75" hidden="false" customHeight="true" outlineLevel="0" collapsed="false">
      <c r="A117" s="6" t="n">
        <v>1116</v>
      </c>
      <c r="B117" s="6" t="s">
        <v>203</v>
      </c>
      <c r="C117" s="6" t="n">
        <v>1</v>
      </c>
      <c r="D117" s="6" t="s">
        <v>371</v>
      </c>
      <c r="E117" s="6" t="s">
        <v>372</v>
      </c>
      <c r="F117" s="6" t="s">
        <v>373</v>
      </c>
      <c r="G117" s="6" t="s">
        <v>268</v>
      </c>
      <c r="H117" s="6" t="n">
        <v>4</v>
      </c>
      <c r="I117" s="6" t="s">
        <v>333</v>
      </c>
      <c r="J117" s="6" t="n">
        <v>8</v>
      </c>
      <c r="K117" s="6" t="n">
        <v>180</v>
      </c>
      <c r="L117" s="6" t="s">
        <v>270</v>
      </c>
      <c r="M117" s="7" t="s">
        <v>374</v>
      </c>
      <c r="N117" s="6" t="s">
        <v>99</v>
      </c>
      <c r="O117" s="6" t="s">
        <v>375</v>
      </c>
      <c r="P117" s="6" t="s">
        <v>376</v>
      </c>
      <c r="Q117" s="6" t="s">
        <v>274</v>
      </c>
      <c r="R117" s="6" t="s">
        <v>275</v>
      </c>
      <c r="S117" s="6" t="s">
        <v>377</v>
      </c>
      <c r="T117" s="6" t="s">
        <v>279</v>
      </c>
      <c r="U117" s="6" t="s">
        <v>378</v>
      </c>
      <c r="V117" s="6" t="s">
        <v>277</v>
      </c>
    </row>
    <row r="118" customFormat="false" ht="33.75" hidden="false" customHeight="true" outlineLevel="0" collapsed="false">
      <c r="A118" s="6" t="n">
        <v>1117</v>
      </c>
      <c r="B118" s="6" t="s">
        <v>203</v>
      </c>
      <c r="C118" s="6" t="n">
        <v>2</v>
      </c>
      <c r="D118" s="6" t="s">
        <v>265</v>
      </c>
      <c r="E118" s="6" t="s">
        <v>266</v>
      </c>
      <c r="F118" s="6" t="s">
        <v>267</v>
      </c>
      <c r="G118" s="6" t="s">
        <v>268</v>
      </c>
      <c r="H118" s="6" t="n">
        <v>4</v>
      </c>
      <c r="I118" s="6" t="s">
        <v>333</v>
      </c>
      <c r="J118" s="6" t="n">
        <v>8</v>
      </c>
      <c r="K118" s="6" t="n">
        <v>180</v>
      </c>
      <c r="L118" s="6" t="s">
        <v>270</v>
      </c>
      <c r="M118" s="7" t="s">
        <v>271</v>
      </c>
      <c r="N118" s="6" t="s">
        <v>99</v>
      </c>
      <c r="O118" s="6" t="s">
        <v>272</v>
      </c>
      <c r="P118" s="6" t="s">
        <v>273</v>
      </c>
      <c r="Q118" s="6" t="s">
        <v>274</v>
      </c>
      <c r="R118" s="6" t="s">
        <v>275</v>
      </c>
      <c r="S118" s="6" t="s">
        <v>276</v>
      </c>
      <c r="T118" s="6" t="s">
        <v>277</v>
      </c>
      <c r="U118" s="6" t="s">
        <v>278</v>
      </c>
      <c r="V118" s="6" t="s">
        <v>279</v>
      </c>
    </row>
    <row r="119" customFormat="false" ht="33.75" hidden="false" customHeight="true" outlineLevel="0" collapsed="false">
      <c r="A119" s="6" t="n">
        <v>1118</v>
      </c>
      <c r="B119" s="6" t="s">
        <v>203</v>
      </c>
      <c r="C119" s="6" t="n">
        <v>3</v>
      </c>
      <c r="D119" s="6" t="s">
        <v>339</v>
      </c>
      <c r="E119" s="6" t="s">
        <v>340</v>
      </c>
      <c r="F119" s="6" t="s">
        <v>341</v>
      </c>
      <c r="G119" s="6" t="s">
        <v>300</v>
      </c>
      <c r="H119" s="6" t="n">
        <v>3</v>
      </c>
      <c r="I119" s="6" t="s">
        <v>292</v>
      </c>
      <c r="J119" s="6" t="n">
        <v>8.5</v>
      </c>
      <c r="K119" s="6" t="n">
        <v>120</v>
      </c>
      <c r="L119" s="6" t="s">
        <v>320</v>
      </c>
      <c r="M119" s="7" t="s">
        <v>342</v>
      </c>
      <c r="N119" s="6" t="s">
        <v>99</v>
      </c>
      <c r="O119" s="6" t="s">
        <v>327</v>
      </c>
      <c r="P119" s="6" t="s">
        <v>328</v>
      </c>
      <c r="Q119" s="6" t="s">
        <v>274</v>
      </c>
      <c r="R119" s="6" t="s">
        <v>275</v>
      </c>
      <c r="S119" s="6" t="s">
        <v>329</v>
      </c>
      <c r="T119" s="6" t="s">
        <v>279</v>
      </c>
      <c r="U119" s="6" t="s">
        <v>330</v>
      </c>
      <c r="V119" s="6" t="s">
        <v>277</v>
      </c>
    </row>
    <row r="120" customFormat="false" ht="33.75" hidden="false" customHeight="true" outlineLevel="0" collapsed="false">
      <c r="A120" s="6" t="n">
        <v>1119</v>
      </c>
      <c r="B120" s="6" t="s">
        <v>203</v>
      </c>
      <c r="C120" s="6" t="n">
        <v>4</v>
      </c>
      <c r="D120" s="6" t="s">
        <v>379</v>
      </c>
      <c r="E120" s="6" t="s">
        <v>380</v>
      </c>
      <c r="F120" s="6" t="s">
        <v>381</v>
      </c>
      <c r="G120" s="6" t="s">
        <v>268</v>
      </c>
      <c r="H120" s="6" t="n">
        <v>3</v>
      </c>
      <c r="I120" s="6" t="s">
        <v>382</v>
      </c>
      <c r="J120" s="6" t="n">
        <v>8</v>
      </c>
      <c r="K120" s="6" t="n">
        <v>120</v>
      </c>
      <c r="L120" s="6" t="s">
        <v>270</v>
      </c>
      <c r="M120" s="7" t="s">
        <v>383</v>
      </c>
      <c r="N120" s="6" t="s">
        <v>99</v>
      </c>
      <c r="O120" s="6" t="s">
        <v>384</v>
      </c>
      <c r="P120" s="6" t="s">
        <v>385</v>
      </c>
      <c r="Q120" s="6" t="s">
        <v>274</v>
      </c>
      <c r="R120" s="6" t="s">
        <v>275</v>
      </c>
      <c r="S120" s="6" t="s">
        <v>386</v>
      </c>
      <c r="T120" s="6" t="s">
        <v>277</v>
      </c>
      <c r="U120" s="6" t="s">
        <v>387</v>
      </c>
      <c r="V120" s="6" t="s">
        <v>279</v>
      </c>
    </row>
    <row r="121" customFormat="false" ht="33.75" hidden="false" customHeight="true" outlineLevel="0" collapsed="false">
      <c r="A121" s="6" t="n">
        <v>1120</v>
      </c>
      <c r="B121" s="6" t="s">
        <v>203</v>
      </c>
      <c r="C121" s="6" t="n">
        <v>5</v>
      </c>
      <c r="D121" s="6" t="s">
        <v>305</v>
      </c>
      <c r="E121" s="6" t="s">
        <v>298</v>
      </c>
      <c r="F121" s="6" t="s">
        <v>431</v>
      </c>
      <c r="G121" s="6" t="s">
        <v>277</v>
      </c>
      <c r="H121" s="6" t="n">
        <v>3</v>
      </c>
      <c r="I121" s="6" t="s">
        <v>301</v>
      </c>
      <c r="J121" s="6" t="n">
        <v>9</v>
      </c>
      <c r="K121" s="6" t="n">
        <v>60</v>
      </c>
      <c r="L121" s="6" t="s">
        <v>302</v>
      </c>
      <c r="M121" s="7" t="s">
        <v>514</v>
      </c>
      <c r="N121" s="6" t="s">
        <v>99</v>
      </c>
      <c r="O121" s="6" t="s">
        <v>304</v>
      </c>
      <c r="P121" s="6" t="s">
        <v>287</v>
      </c>
      <c r="Q121" s="6" t="s">
        <v>275</v>
      </c>
      <c r="R121" s="6" t="s">
        <v>275</v>
      </c>
      <c r="S121" s="6" t="s">
        <v>297</v>
      </c>
      <c r="T121" s="6" t="s">
        <v>300</v>
      </c>
      <c r="U121" s="6" t="s">
        <v>306</v>
      </c>
      <c r="V121" s="6" t="s">
        <v>279</v>
      </c>
    </row>
    <row r="122" customFormat="false" ht="33.75" hidden="false" customHeight="true" outlineLevel="0" collapsed="false">
      <c r="A122" s="6" t="n">
        <v>1121</v>
      </c>
      <c r="B122" s="6" t="s">
        <v>203</v>
      </c>
      <c r="C122" s="6" t="n">
        <v>6</v>
      </c>
      <c r="D122" s="6" t="s">
        <v>522</v>
      </c>
      <c r="E122" s="6" t="s">
        <v>517</v>
      </c>
      <c r="F122" s="6" t="s">
        <v>359</v>
      </c>
      <c r="G122" s="6" t="s">
        <v>300</v>
      </c>
      <c r="H122" s="6" t="n">
        <v>2</v>
      </c>
      <c r="I122" s="6" t="s">
        <v>500</v>
      </c>
      <c r="J122" s="6" t="n">
        <v>9</v>
      </c>
      <c r="K122" s="6" t="n">
        <v>60</v>
      </c>
      <c r="L122" s="6" t="s">
        <v>302</v>
      </c>
      <c r="M122" s="7" t="s">
        <v>541</v>
      </c>
      <c r="N122" s="6" t="s">
        <v>99</v>
      </c>
      <c r="O122" s="6" t="s">
        <v>520</v>
      </c>
      <c r="P122" s="6" t="s">
        <v>362</v>
      </c>
      <c r="Q122" s="6" t="s">
        <v>275</v>
      </c>
      <c r="R122" s="6" t="s">
        <v>275</v>
      </c>
      <c r="S122" s="6" t="s">
        <v>516</v>
      </c>
      <c r="T122" s="6" t="s">
        <v>268</v>
      </c>
      <c r="U122" s="6" t="s">
        <v>542</v>
      </c>
      <c r="V122" s="6" t="s">
        <v>277</v>
      </c>
    </row>
    <row r="123" customFormat="false" ht="33.75" hidden="false" customHeight="true" outlineLevel="0" collapsed="false">
      <c r="A123" s="6" t="n">
        <v>1122</v>
      </c>
      <c r="B123" s="6" t="s">
        <v>203</v>
      </c>
      <c r="C123" s="6" t="n">
        <v>7</v>
      </c>
      <c r="D123" s="6" t="s">
        <v>528</v>
      </c>
      <c r="E123" s="6" t="s">
        <v>498</v>
      </c>
      <c r="F123" s="6" t="s">
        <v>543</v>
      </c>
      <c r="G123" s="6" t="s">
        <v>318</v>
      </c>
      <c r="H123" s="6" t="n">
        <v>3</v>
      </c>
      <c r="I123" s="6" t="s">
        <v>544</v>
      </c>
      <c r="J123" s="6" t="n">
        <v>8</v>
      </c>
      <c r="K123" s="6" t="n">
        <v>45</v>
      </c>
      <c r="L123" s="6" t="s">
        <v>545</v>
      </c>
      <c r="M123" s="7" t="s">
        <v>546</v>
      </c>
      <c r="N123" s="6" t="s">
        <v>99</v>
      </c>
      <c r="O123" s="6" t="s">
        <v>527</v>
      </c>
      <c r="P123" s="6" t="s">
        <v>503</v>
      </c>
      <c r="Q123" s="6" t="s">
        <v>275</v>
      </c>
      <c r="R123" s="6" t="s">
        <v>275</v>
      </c>
      <c r="S123" s="6" t="s">
        <v>524</v>
      </c>
      <c r="T123" s="6" t="s">
        <v>318</v>
      </c>
      <c r="U123" s="6" t="s">
        <v>547</v>
      </c>
      <c r="V123" s="6" t="s">
        <v>318</v>
      </c>
    </row>
    <row r="124" customFormat="false" ht="33.75" hidden="false" customHeight="true" outlineLevel="0" collapsed="false">
      <c r="A124" s="6" t="n">
        <v>1123</v>
      </c>
      <c r="B124" s="6" t="s">
        <v>207</v>
      </c>
      <c r="C124" s="6" t="n">
        <v>1</v>
      </c>
      <c r="D124" s="6" t="s">
        <v>473</v>
      </c>
      <c r="E124" s="6" t="s">
        <v>372</v>
      </c>
      <c r="F124" s="6" t="s">
        <v>532</v>
      </c>
      <c r="G124" s="6" t="s">
        <v>268</v>
      </c>
      <c r="H124" s="6" t="n">
        <v>4</v>
      </c>
      <c r="I124" s="6" t="s">
        <v>471</v>
      </c>
      <c r="J124" s="6" t="n">
        <v>8</v>
      </c>
      <c r="K124" s="6" t="n">
        <v>210</v>
      </c>
      <c r="L124" s="6" t="s">
        <v>284</v>
      </c>
      <c r="M124" s="7" t="s">
        <v>548</v>
      </c>
      <c r="N124" s="6" t="s">
        <v>99</v>
      </c>
      <c r="O124" s="6" t="s">
        <v>384</v>
      </c>
      <c r="P124" s="6" t="s">
        <v>385</v>
      </c>
      <c r="Q124" s="6" t="s">
        <v>274</v>
      </c>
      <c r="R124" s="6" t="s">
        <v>275</v>
      </c>
      <c r="S124" s="6" t="s">
        <v>468</v>
      </c>
      <c r="T124" s="6" t="s">
        <v>268</v>
      </c>
      <c r="U124" s="6" t="s">
        <v>388</v>
      </c>
      <c r="V124" s="6" t="s">
        <v>279</v>
      </c>
    </row>
    <row r="125" customFormat="false" ht="33.75" hidden="false" customHeight="true" outlineLevel="0" collapsed="false">
      <c r="A125" s="6" t="n">
        <v>1124</v>
      </c>
      <c r="B125" s="6" t="s">
        <v>207</v>
      </c>
      <c r="C125" s="6" t="n">
        <v>2</v>
      </c>
      <c r="D125" s="6" t="s">
        <v>441</v>
      </c>
      <c r="E125" s="6" t="s">
        <v>324</v>
      </c>
      <c r="F125" s="6" t="s">
        <v>332</v>
      </c>
      <c r="G125" s="6" t="s">
        <v>279</v>
      </c>
      <c r="H125" s="6" t="n">
        <v>4</v>
      </c>
      <c r="I125" s="6" t="s">
        <v>292</v>
      </c>
      <c r="J125" s="6" t="n">
        <v>8.5</v>
      </c>
      <c r="K125" s="6" t="n">
        <v>120</v>
      </c>
      <c r="L125" s="6" t="s">
        <v>334</v>
      </c>
      <c r="M125" s="7" t="s">
        <v>442</v>
      </c>
      <c r="N125" s="6" t="s">
        <v>99</v>
      </c>
      <c r="O125" s="6" t="s">
        <v>336</v>
      </c>
      <c r="P125" s="6" t="s">
        <v>328</v>
      </c>
      <c r="Q125" s="6" t="s">
        <v>274</v>
      </c>
      <c r="R125" s="6" t="s">
        <v>275</v>
      </c>
      <c r="S125" s="6" t="s">
        <v>331</v>
      </c>
      <c r="T125" s="6" t="s">
        <v>318</v>
      </c>
      <c r="U125" s="6" t="s">
        <v>338</v>
      </c>
      <c r="V125" s="6" t="s">
        <v>279</v>
      </c>
    </row>
    <row r="126" customFormat="false" ht="33.75" hidden="false" customHeight="true" outlineLevel="0" collapsed="false">
      <c r="A126" s="6" t="n">
        <v>1125</v>
      </c>
      <c r="B126" s="6" t="s">
        <v>207</v>
      </c>
      <c r="C126" s="6" t="n">
        <v>3</v>
      </c>
      <c r="D126" s="6" t="s">
        <v>288</v>
      </c>
      <c r="E126" s="6" t="s">
        <v>281</v>
      </c>
      <c r="F126" s="6" t="s">
        <v>282</v>
      </c>
      <c r="G126" s="6" t="s">
        <v>277</v>
      </c>
      <c r="H126" s="6" t="n">
        <v>3</v>
      </c>
      <c r="I126" s="6" t="s">
        <v>382</v>
      </c>
      <c r="J126" s="6" t="n">
        <v>8.5</v>
      </c>
      <c r="K126" s="6" t="n">
        <v>120</v>
      </c>
      <c r="L126" s="6" t="s">
        <v>334</v>
      </c>
      <c r="M126" s="7" t="s">
        <v>413</v>
      </c>
      <c r="N126" s="6" t="s">
        <v>99</v>
      </c>
      <c r="O126" s="6" t="s">
        <v>286</v>
      </c>
      <c r="P126" s="6" t="s">
        <v>287</v>
      </c>
      <c r="Q126" s="6" t="s">
        <v>274</v>
      </c>
      <c r="R126" s="6" t="s">
        <v>275</v>
      </c>
      <c r="S126" s="6" t="s">
        <v>280</v>
      </c>
      <c r="T126" s="6" t="s">
        <v>268</v>
      </c>
      <c r="U126" s="6" t="s">
        <v>289</v>
      </c>
      <c r="V126" s="6" t="s">
        <v>279</v>
      </c>
    </row>
    <row r="127" customFormat="false" ht="33.75" hidden="false" customHeight="true" outlineLevel="0" collapsed="false">
      <c r="A127" s="6" t="n">
        <v>1126</v>
      </c>
      <c r="B127" s="6" t="s">
        <v>207</v>
      </c>
      <c r="C127" s="6" t="n">
        <v>4</v>
      </c>
      <c r="D127" s="6" t="s">
        <v>388</v>
      </c>
      <c r="E127" s="6" t="s">
        <v>372</v>
      </c>
      <c r="F127" s="6" t="s">
        <v>389</v>
      </c>
      <c r="G127" s="6" t="s">
        <v>279</v>
      </c>
      <c r="H127" s="6" t="n">
        <v>3</v>
      </c>
      <c r="I127" s="6" t="s">
        <v>310</v>
      </c>
      <c r="J127" s="6" t="n">
        <v>8.5</v>
      </c>
      <c r="K127" s="6" t="n">
        <v>120</v>
      </c>
      <c r="L127" s="6" t="s">
        <v>320</v>
      </c>
      <c r="M127" s="7" t="s">
        <v>390</v>
      </c>
      <c r="N127" s="6" t="s">
        <v>99</v>
      </c>
      <c r="O127" s="6" t="s">
        <v>375</v>
      </c>
      <c r="P127" s="6" t="s">
        <v>376</v>
      </c>
      <c r="Q127" s="6" t="s">
        <v>274</v>
      </c>
      <c r="R127" s="6" t="s">
        <v>275</v>
      </c>
      <c r="S127" s="6" t="s">
        <v>391</v>
      </c>
      <c r="T127" s="6" t="s">
        <v>279</v>
      </c>
      <c r="U127" s="6" t="s">
        <v>371</v>
      </c>
      <c r="V127" s="6" t="s">
        <v>268</v>
      </c>
    </row>
    <row r="128" customFormat="false" ht="33.75" hidden="false" customHeight="true" outlineLevel="0" collapsed="false">
      <c r="A128" s="6" t="n">
        <v>1127</v>
      </c>
      <c r="B128" s="6" t="s">
        <v>207</v>
      </c>
      <c r="C128" s="6" t="n">
        <v>5</v>
      </c>
      <c r="D128" s="6" t="s">
        <v>398</v>
      </c>
      <c r="E128" s="6" t="s">
        <v>380</v>
      </c>
      <c r="F128" s="6" t="s">
        <v>399</v>
      </c>
      <c r="G128" s="6" t="s">
        <v>279</v>
      </c>
      <c r="H128" s="6" t="n">
        <v>3</v>
      </c>
      <c r="I128" s="6" t="s">
        <v>301</v>
      </c>
      <c r="J128" s="6" t="n">
        <v>9</v>
      </c>
      <c r="K128" s="6" t="n">
        <v>75</v>
      </c>
      <c r="L128" s="6" t="s">
        <v>270</v>
      </c>
      <c r="M128" s="7" t="s">
        <v>400</v>
      </c>
      <c r="N128" s="6" t="s">
        <v>99</v>
      </c>
      <c r="O128" s="6" t="s">
        <v>401</v>
      </c>
      <c r="P128" s="6" t="s">
        <v>385</v>
      </c>
      <c r="Q128" s="6" t="s">
        <v>275</v>
      </c>
      <c r="R128" s="6" t="s">
        <v>275</v>
      </c>
      <c r="S128" s="6" t="s">
        <v>402</v>
      </c>
      <c r="T128" s="6" t="s">
        <v>279</v>
      </c>
      <c r="U128" s="6" t="s">
        <v>403</v>
      </c>
      <c r="V128" s="6" t="s">
        <v>318</v>
      </c>
    </row>
    <row r="129" customFormat="false" ht="33.75" hidden="false" customHeight="true" outlineLevel="0" collapsed="false">
      <c r="A129" s="6" t="n">
        <v>1128</v>
      </c>
      <c r="B129" s="6" t="s">
        <v>207</v>
      </c>
      <c r="C129" s="6" t="n">
        <v>6</v>
      </c>
      <c r="D129" s="6" t="s">
        <v>434</v>
      </c>
      <c r="E129" s="6" t="s">
        <v>435</v>
      </c>
      <c r="F129" s="6" t="s">
        <v>436</v>
      </c>
      <c r="G129" s="6" t="s">
        <v>300</v>
      </c>
      <c r="H129" s="6" t="n">
        <v>3</v>
      </c>
      <c r="I129" s="6" t="s">
        <v>301</v>
      </c>
      <c r="J129" s="6" t="n">
        <v>9</v>
      </c>
      <c r="K129" s="6" t="n">
        <v>60</v>
      </c>
      <c r="L129" s="6" t="s">
        <v>302</v>
      </c>
      <c r="M129" s="7" t="s">
        <v>437</v>
      </c>
      <c r="N129" s="6" t="s">
        <v>99</v>
      </c>
      <c r="O129" s="6" t="s">
        <v>438</v>
      </c>
      <c r="P129" s="6" t="s">
        <v>313</v>
      </c>
      <c r="Q129" s="6" t="s">
        <v>275</v>
      </c>
      <c r="R129" s="6" t="s">
        <v>275</v>
      </c>
      <c r="S129" s="6" t="s">
        <v>439</v>
      </c>
      <c r="T129" s="6" t="s">
        <v>300</v>
      </c>
      <c r="U129" s="6" t="s">
        <v>440</v>
      </c>
      <c r="V129" s="6" t="s">
        <v>318</v>
      </c>
    </row>
    <row r="130" customFormat="false" ht="33.75" hidden="false" customHeight="true" outlineLevel="0" collapsed="false">
      <c r="A130" s="6" t="n">
        <v>1129</v>
      </c>
      <c r="B130" s="6" t="s">
        <v>207</v>
      </c>
      <c r="C130" s="6" t="n">
        <v>7</v>
      </c>
      <c r="D130" s="6" t="s">
        <v>404</v>
      </c>
      <c r="E130" s="6" t="s">
        <v>405</v>
      </c>
      <c r="F130" s="6" t="s">
        <v>406</v>
      </c>
      <c r="G130" s="6" t="s">
        <v>279</v>
      </c>
      <c r="H130" s="6" t="n">
        <v>3</v>
      </c>
      <c r="I130" s="6" t="s">
        <v>500</v>
      </c>
      <c r="J130" s="6" t="n">
        <v>9</v>
      </c>
      <c r="K130" s="6" t="n">
        <v>60</v>
      </c>
      <c r="L130" s="6" t="s">
        <v>407</v>
      </c>
      <c r="M130" s="7" t="s">
        <v>408</v>
      </c>
      <c r="N130" s="6" t="s">
        <v>99</v>
      </c>
      <c r="O130" s="6" t="s">
        <v>409</v>
      </c>
      <c r="P130" s="6" t="s">
        <v>410</v>
      </c>
      <c r="Q130" s="6" t="s">
        <v>275</v>
      </c>
      <c r="R130" s="6" t="s">
        <v>275</v>
      </c>
      <c r="S130" s="6" t="s">
        <v>411</v>
      </c>
      <c r="T130" s="6" t="s">
        <v>279</v>
      </c>
      <c r="U130" s="6" t="s">
        <v>412</v>
      </c>
      <c r="V130" s="6" t="s">
        <v>279</v>
      </c>
    </row>
    <row r="131" customFormat="false" ht="33.75" hidden="false" customHeight="true" outlineLevel="0" collapsed="false">
      <c r="A131" s="6" t="n">
        <v>1130</v>
      </c>
      <c r="B131" s="6" t="s">
        <v>211</v>
      </c>
      <c r="C131" s="6" t="n">
        <v>1</v>
      </c>
      <c r="D131" s="6" t="s">
        <v>392</v>
      </c>
      <c r="E131" s="6" t="s">
        <v>372</v>
      </c>
      <c r="F131" s="6" t="s">
        <v>389</v>
      </c>
      <c r="G131" s="6" t="s">
        <v>277</v>
      </c>
      <c r="H131" s="6" t="n">
        <v>4</v>
      </c>
      <c r="I131" s="6" t="s">
        <v>393</v>
      </c>
      <c r="J131" s="6" t="n">
        <v>8.5</v>
      </c>
      <c r="K131" s="6" t="n">
        <v>120</v>
      </c>
      <c r="L131" s="6" t="s">
        <v>334</v>
      </c>
      <c r="M131" s="7" t="s">
        <v>394</v>
      </c>
      <c r="N131" s="6" t="s">
        <v>99</v>
      </c>
      <c r="O131" s="6" t="s">
        <v>395</v>
      </c>
      <c r="P131" s="6" t="s">
        <v>376</v>
      </c>
      <c r="Q131" s="6" t="s">
        <v>274</v>
      </c>
      <c r="R131" s="6" t="s">
        <v>274</v>
      </c>
      <c r="S131" s="6" t="s">
        <v>396</v>
      </c>
      <c r="T131" s="6" t="s">
        <v>277</v>
      </c>
      <c r="U131" s="6" t="s">
        <v>397</v>
      </c>
      <c r="V131" s="6" t="s">
        <v>277</v>
      </c>
    </row>
    <row r="132" customFormat="false" ht="33.75" hidden="false" customHeight="true" outlineLevel="0" collapsed="false">
      <c r="A132" s="6" t="n">
        <v>1131</v>
      </c>
      <c r="B132" s="6" t="s">
        <v>211</v>
      </c>
      <c r="C132" s="6" t="n">
        <v>2</v>
      </c>
      <c r="D132" s="6" t="s">
        <v>290</v>
      </c>
      <c r="E132" s="6" t="s">
        <v>291</v>
      </c>
      <c r="F132" s="6" t="s">
        <v>267</v>
      </c>
      <c r="G132" s="6" t="s">
        <v>277</v>
      </c>
      <c r="H132" s="6" t="n">
        <v>4</v>
      </c>
      <c r="I132" s="6" t="s">
        <v>292</v>
      </c>
      <c r="J132" s="6" t="n">
        <v>8.5</v>
      </c>
      <c r="K132" s="6" t="n">
        <v>120</v>
      </c>
      <c r="L132" s="6" t="s">
        <v>270</v>
      </c>
      <c r="M132" s="7" t="s">
        <v>293</v>
      </c>
      <c r="N132" s="6" t="s">
        <v>99</v>
      </c>
      <c r="O132" s="6" t="s">
        <v>294</v>
      </c>
      <c r="P132" s="6" t="s">
        <v>273</v>
      </c>
      <c r="Q132" s="6" t="s">
        <v>274</v>
      </c>
      <c r="R132" s="6" t="s">
        <v>275</v>
      </c>
      <c r="S132" s="6" t="s">
        <v>295</v>
      </c>
      <c r="T132" s="6" t="s">
        <v>268</v>
      </c>
      <c r="U132" s="6" t="s">
        <v>296</v>
      </c>
      <c r="V132" s="6" t="s">
        <v>279</v>
      </c>
    </row>
    <row r="133" customFormat="false" ht="33.75" hidden="false" customHeight="true" outlineLevel="0" collapsed="false">
      <c r="A133" s="6" t="n">
        <v>1132</v>
      </c>
      <c r="B133" s="6" t="s">
        <v>211</v>
      </c>
      <c r="C133" s="6" t="n">
        <v>3</v>
      </c>
      <c r="D133" s="6" t="s">
        <v>445</v>
      </c>
      <c r="E133" s="6" t="s">
        <v>340</v>
      </c>
      <c r="F133" s="6" t="s">
        <v>341</v>
      </c>
      <c r="G133" s="6" t="s">
        <v>277</v>
      </c>
      <c r="H133" s="6" t="n">
        <v>4</v>
      </c>
      <c r="I133" s="6" t="s">
        <v>310</v>
      </c>
      <c r="J133" s="6" t="n">
        <v>8.5</v>
      </c>
      <c r="K133" s="6" t="n">
        <v>120</v>
      </c>
      <c r="L133" s="6" t="s">
        <v>320</v>
      </c>
      <c r="M133" s="7" t="s">
        <v>549</v>
      </c>
      <c r="N133" s="6" t="s">
        <v>99</v>
      </c>
      <c r="O133" s="6" t="s">
        <v>327</v>
      </c>
      <c r="P133" s="6" t="s">
        <v>328</v>
      </c>
      <c r="Q133" s="6" t="s">
        <v>274</v>
      </c>
      <c r="R133" s="6" t="s">
        <v>275</v>
      </c>
      <c r="S133" s="6" t="s">
        <v>329</v>
      </c>
      <c r="T133" s="6" t="s">
        <v>279</v>
      </c>
      <c r="U133" s="6" t="s">
        <v>444</v>
      </c>
      <c r="V133" s="6" t="s">
        <v>300</v>
      </c>
    </row>
    <row r="134" customFormat="false" ht="33.75" hidden="false" customHeight="true" outlineLevel="0" collapsed="false">
      <c r="A134" s="6" t="n">
        <v>1133</v>
      </c>
      <c r="B134" s="6" t="s">
        <v>211</v>
      </c>
      <c r="C134" s="6" t="n">
        <v>4</v>
      </c>
      <c r="D134" s="6" t="s">
        <v>474</v>
      </c>
      <c r="E134" s="6" t="s">
        <v>475</v>
      </c>
      <c r="F134" s="6" t="s">
        <v>476</v>
      </c>
      <c r="G134" s="6" t="s">
        <v>268</v>
      </c>
      <c r="H134" s="6" t="n">
        <v>3</v>
      </c>
      <c r="I134" s="6" t="s">
        <v>310</v>
      </c>
      <c r="J134" s="6" t="n">
        <v>8.5</v>
      </c>
      <c r="K134" s="6" t="n">
        <v>120</v>
      </c>
      <c r="L134" s="6" t="s">
        <v>455</v>
      </c>
      <c r="M134" s="7" t="s">
        <v>477</v>
      </c>
      <c r="N134" s="6" t="s">
        <v>99</v>
      </c>
      <c r="O134" s="6" t="s">
        <v>478</v>
      </c>
      <c r="P134" s="6" t="s">
        <v>479</v>
      </c>
      <c r="Q134" s="6" t="s">
        <v>274</v>
      </c>
      <c r="R134" s="6" t="s">
        <v>275</v>
      </c>
      <c r="S134" s="6" t="s">
        <v>480</v>
      </c>
      <c r="T134" s="6" t="s">
        <v>279</v>
      </c>
      <c r="U134" s="6" t="s">
        <v>481</v>
      </c>
      <c r="V134" s="6" t="s">
        <v>268</v>
      </c>
    </row>
    <row r="135" customFormat="false" ht="33.75" hidden="false" customHeight="true" outlineLevel="0" collapsed="false">
      <c r="A135" s="6" t="n">
        <v>1134</v>
      </c>
      <c r="B135" s="6" t="s">
        <v>211</v>
      </c>
      <c r="C135" s="6" t="n">
        <v>5</v>
      </c>
      <c r="D135" s="6" t="s">
        <v>343</v>
      </c>
      <c r="E135" s="6" t="s">
        <v>344</v>
      </c>
      <c r="F135" s="6" t="s">
        <v>345</v>
      </c>
      <c r="G135" s="6" t="s">
        <v>300</v>
      </c>
      <c r="H135" s="6" t="n">
        <v>3</v>
      </c>
      <c r="I135" s="6" t="s">
        <v>346</v>
      </c>
      <c r="J135" s="6" t="n">
        <v>9</v>
      </c>
      <c r="K135" s="6" t="n">
        <v>60</v>
      </c>
      <c r="L135" s="6" t="s">
        <v>302</v>
      </c>
      <c r="M135" s="7" t="s">
        <v>347</v>
      </c>
      <c r="N135" s="6" t="s">
        <v>99</v>
      </c>
      <c r="O135" s="6" t="s">
        <v>348</v>
      </c>
      <c r="P135" s="6" t="s">
        <v>287</v>
      </c>
      <c r="Q135" s="6" t="s">
        <v>275</v>
      </c>
      <c r="R135" s="6" t="s">
        <v>275</v>
      </c>
      <c r="S135" s="6" t="s">
        <v>349</v>
      </c>
      <c r="T135" s="6" t="s">
        <v>279</v>
      </c>
      <c r="U135" s="6" t="s">
        <v>350</v>
      </c>
      <c r="V135" s="6" t="s">
        <v>318</v>
      </c>
    </row>
    <row r="136" customFormat="false" ht="33.75" hidden="false" customHeight="true" outlineLevel="0" collapsed="false">
      <c r="A136" s="6" t="n">
        <v>1135</v>
      </c>
      <c r="B136" s="6" t="s">
        <v>211</v>
      </c>
      <c r="C136" s="6" t="n">
        <v>6</v>
      </c>
      <c r="D136" s="6" t="s">
        <v>357</v>
      </c>
      <c r="E136" s="6" t="s">
        <v>358</v>
      </c>
      <c r="F136" s="6" t="s">
        <v>359</v>
      </c>
      <c r="G136" s="6" t="s">
        <v>277</v>
      </c>
      <c r="H136" s="6" t="n">
        <v>3</v>
      </c>
      <c r="I136" s="6" t="s">
        <v>310</v>
      </c>
      <c r="J136" s="6" t="n">
        <v>9</v>
      </c>
      <c r="K136" s="6" t="n">
        <v>60</v>
      </c>
      <c r="L136" s="6" t="s">
        <v>334</v>
      </c>
      <c r="M136" s="7" t="s">
        <v>360</v>
      </c>
      <c r="N136" s="6" t="s">
        <v>99</v>
      </c>
      <c r="O136" s="6" t="s">
        <v>361</v>
      </c>
      <c r="P136" s="6" t="s">
        <v>362</v>
      </c>
      <c r="Q136" s="6" t="s">
        <v>275</v>
      </c>
      <c r="R136" s="6" t="s">
        <v>275</v>
      </c>
      <c r="S136" s="6" t="s">
        <v>363</v>
      </c>
      <c r="T136" s="6" t="s">
        <v>300</v>
      </c>
      <c r="U136" s="6" t="s">
        <v>364</v>
      </c>
      <c r="V136" s="6" t="s">
        <v>268</v>
      </c>
    </row>
    <row r="137" customFormat="false" ht="33.75" hidden="false" customHeight="true" outlineLevel="0" collapsed="false">
      <c r="A137" s="6" t="n">
        <v>1136</v>
      </c>
      <c r="B137" s="6" t="s">
        <v>211</v>
      </c>
      <c r="C137" s="6" t="n">
        <v>7</v>
      </c>
      <c r="D137" s="6" t="s">
        <v>497</v>
      </c>
      <c r="E137" s="6" t="s">
        <v>498</v>
      </c>
      <c r="F137" s="6" t="s">
        <v>499</v>
      </c>
      <c r="G137" s="6" t="s">
        <v>318</v>
      </c>
      <c r="H137" s="6" t="n">
        <v>3</v>
      </c>
      <c r="I137" s="6" t="s">
        <v>500</v>
      </c>
      <c r="J137" s="6" t="n">
        <v>9</v>
      </c>
      <c r="K137" s="6" t="n">
        <v>60</v>
      </c>
      <c r="L137" s="6" t="s">
        <v>302</v>
      </c>
      <c r="M137" s="7" t="s">
        <v>501</v>
      </c>
      <c r="N137" s="6" t="s">
        <v>99</v>
      </c>
      <c r="O137" s="6" t="s">
        <v>502</v>
      </c>
      <c r="P137" s="6" t="s">
        <v>503</v>
      </c>
      <c r="Q137" s="6" t="s">
        <v>275</v>
      </c>
      <c r="R137" s="6" t="s">
        <v>275</v>
      </c>
      <c r="S137" s="6" t="s">
        <v>504</v>
      </c>
      <c r="T137" s="6" t="s">
        <v>279</v>
      </c>
      <c r="U137" s="6" t="s">
        <v>505</v>
      </c>
      <c r="V137" s="6" t="s">
        <v>318</v>
      </c>
    </row>
    <row r="138" customFormat="false" ht="33.75" hidden="false" customHeight="true" outlineLevel="0" collapsed="false">
      <c r="A138" s="6" t="n">
        <v>1137</v>
      </c>
      <c r="B138" s="6" t="s">
        <v>216</v>
      </c>
      <c r="C138" s="6" t="n">
        <v>1</v>
      </c>
      <c r="D138" s="6" t="s">
        <v>265</v>
      </c>
      <c r="E138" s="6" t="s">
        <v>266</v>
      </c>
      <c r="F138" s="6" t="s">
        <v>267</v>
      </c>
      <c r="G138" s="6" t="s">
        <v>268</v>
      </c>
      <c r="H138" s="6" t="n">
        <v>4</v>
      </c>
      <c r="I138" s="6" t="s">
        <v>269</v>
      </c>
      <c r="J138" s="6" t="n">
        <v>8</v>
      </c>
      <c r="K138" s="6" t="n">
        <v>180</v>
      </c>
      <c r="L138" s="6" t="s">
        <v>270</v>
      </c>
      <c r="M138" s="7" t="s">
        <v>271</v>
      </c>
      <c r="N138" s="6" t="s">
        <v>105</v>
      </c>
      <c r="O138" s="6" t="s">
        <v>272</v>
      </c>
      <c r="P138" s="6" t="s">
        <v>273</v>
      </c>
      <c r="Q138" s="6" t="s">
        <v>274</v>
      </c>
      <c r="R138" s="6" t="s">
        <v>275</v>
      </c>
      <c r="S138" s="6" t="s">
        <v>276</v>
      </c>
      <c r="T138" s="6" t="s">
        <v>277</v>
      </c>
      <c r="U138" s="6" t="s">
        <v>278</v>
      </c>
      <c r="V138" s="6" t="s">
        <v>279</v>
      </c>
    </row>
    <row r="139" customFormat="false" ht="33.75" hidden="false" customHeight="true" outlineLevel="0" collapsed="false">
      <c r="A139" s="6" t="n">
        <v>1138</v>
      </c>
      <c r="B139" s="6" t="s">
        <v>216</v>
      </c>
      <c r="C139" s="6" t="n">
        <v>2</v>
      </c>
      <c r="D139" s="6" t="s">
        <v>288</v>
      </c>
      <c r="E139" s="6" t="s">
        <v>281</v>
      </c>
      <c r="F139" s="6" t="s">
        <v>282</v>
      </c>
      <c r="G139" s="6" t="s">
        <v>277</v>
      </c>
      <c r="H139" s="6" t="n">
        <v>3</v>
      </c>
      <c r="I139" s="6" t="s">
        <v>382</v>
      </c>
      <c r="J139" s="6" t="n">
        <v>8.5</v>
      </c>
      <c r="K139" s="6" t="n">
        <v>120</v>
      </c>
      <c r="L139" s="6" t="s">
        <v>334</v>
      </c>
      <c r="M139" s="7" t="s">
        <v>413</v>
      </c>
      <c r="N139" s="6" t="s">
        <v>105</v>
      </c>
      <c r="O139" s="6" t="s">
        <v>286</v>
      </c>
      <c r="P139" s="6" t="s">
        <v>287</v>
      </c>
      <c r="Q139" s="6" t="s">
        <v>274</v>
      </c>
      <c r="R139" s="6" t="s">
        <v>275</v>
      </c>
      <c r="S139" s="6" t="s">
        <v>280</v>
      </c>
      <c r="T139" s="6" t="s">
        <v>268</v>
      </c>
      <c r="U139" s="6" t="s">
        <v>289</v>
      </c>
      <c r="V139" s="6" t="s">
        <v>279</v>
      </c>
    </row>
    <row r="140" customFormat="false" ht="33.75" hidden="false" customHeight="true" outlineLevel="0" collapsed="false">
      <c r="A140" s="6" t="n">
        <v>1139</v>
      </c>
      <c r="B140" s="6" t="s">
        <v>216</v>
      </c>
      <c r="C140" s="6" t="n">
        <v>3</v>
      </c>
      <c r="D140" s="6" t="s">
        <v>290</v>
      </c>
      <c r="E140" s="6" t="s">
        <v>291</v>
      </c>
      <c r="F140" s="6" t="s">
        <v>267</v>
      </c>
      <c r="G140" s="6" t="s">
        <v>277</v>
      </c>
      <c r="H140" s="6" t="n">
        <v>3</v>
      </c>
      <c r="I140" s="6" t="s">
        <v>310</v>
      </c>
      <c r="J140" s="6" t="n">
        <v>8.5</v>
      </c>
      <c r="K140" s="6" t="n">
        <v>120</v>
      </c>
      <c r="L140" s="6" t="s">
        <v>270</v>
      </c>
      <c r="M140" s="7" t="s">
        <v>293</v>
      </c>
      <c r="N140" s="6" t="s">
        <v>105</v>
      </c>
      <c r="O140" s="6" t="s">
        <v>294</v>
      </c>
      <c r="P140" s="6" t="s">
        <v>273</v>
      </c>
      <c r="Q140" s="6" t="s">
        <v>274</v>
      </c>
      <c r="R140" s="6" t="s">
        <v>275</v>
      </c>
      <c r="S140" s="6" t="s">
        <v>295</v>
      </c>
      <c r="T140" s="6" t="s">
        <v>268</v>
      </c>
      <c r="U140" s="6" t="s">
        <v>296</v>
      </c>
      <c r="V140" s="6" t="s">
        <v>279</v>
      </c>
    </row>
    <row r="141" customFormat="false" ht="33.75" hidden="false" customHeight="true" outlineLevel="0" collapsed="false">
      <c r="A141" s="6" t="n">
        <v>1140</v>
      </c>
      <c r="B141" s="6" t="s">
        <v>216</v>
      </c>
      <c r="C141" s="6" t="n">
        <v>4</v>
      </c>
      <c r="D141" s="6" t="s">
        <v>297</v>
      </c>
      <c r="E141" s="6" t="s">
        <v>298</v>
      </c>
      <c r="F141" s="6" t="s">
        <v>299</v>
      </c>
      <c r="G141" s="6" t="s">
        <v>300</v>
      </c>
      <c r="H141" s="6" t="n">
        <v>4</v>
      </c>
      <c r="I141" s="6" t="s">
        <v>301</v>
      </c>
      <c r="J141" s="6" t="n">
        <v>9</v>
      </c>
      <c r="K141" s="6" t="n">
        <v>60</v>
      </c>
      <c r="L141" s="6" t="s">
        <v>302</v>
      </c>
      <c r="M141" s="7" t="s">
        <v>303</v>
      </c>
      <c r="N141" s="6" t="s">
        <v>105</v>
      </c>
      <c r="O141" s="6" t="s">
        <v>304</v>
      </c>
      <c r="P141" s="6" t="s">
        <v>287</v>
      </c>
      <c r="Q141" s="6" t="s">
        <v>275</v>
      </c>
      <c r="R141" s="6" t="s">
        <v>274</v>
      </c>
      <c r="S141" s="6" t="s">
        <v>305</v>
      </c>
      <c r="T141" s="6" t="s">
        <v>277</v>
      </c>
      <c r="U141" s="6" t="s">
        <v>306</v>
      </c>
      <c r="V141" s="6" t="s">
        <v>279</v>
      </c>
    </row>
    <row r="142" customFormat="false" ht="33.75" hidden="false" customHeight="true" outlineLevel="0" collapsed="false">
      <c r="A142" s="6" t="n">
        <v>1141</v>
      </c>
      <c r="B142" s="6" t="s">
        <v>216</v>
      </c>
      <c r="C142" s="6" t="n">
        <v>5</v>
      </c>
      <c r="D142" s="6" t="s">
        <v>424</v>
      </c>
      <c r="E142" s="6" t="s">
        <v>425</v>
      </c>
      <c r="F142" s="6" t="s">
        <v>281</v>
      </c>
      <c r="G142" s="6" t="s">
        <v>279</v>
      </c>
      <c r="H142" s="6" t="n">
        <v>3</v>
      </c>
      <c r="I142" s="6" t="s">
        <v>301</v>
      </c>
      <c r="J142" s="6" t="n">
        <v>9</v>
      </c>
      <c r="K142" s="6" t="n">
        <v>60</v>
      </c>
      <c r="L142" s="6" t="s">
        <v>426</v>
      </c>
      <c r="M142" s="7" t="s">
        <v>427</v>
      </c>
      <c r="N142" s="6" t="s">
        <v>105</v>
      </c>
      <c r="O142" s="6" t="s">
        <v>428</v>
      </c>
      <c r="P142" s="6" t="s">
        <v>273</v>
      </c>
      <c r="Q142" s="6" t="s">
        <v>275</v>
      </c>
      <c r="R142" s="6" t="s">
        <v>275</v>
      </c>
      <c r="S142" s="6" t="s">
        <v>429</v>
      </c>
      <c r="T142" s="6" t="s">
        <v>300</v>
      </c>
      <c r="U142" s="6" t="s">
        <v>430</v>
      </c>
      <c r="V142" s="6" t="s">
        <v>277</v>
      </c>
    </row>
    <row r="143" customFormat="false" ht="33.75" hidden="false" customHeight="true" outlineLevel="0" collapsed="false">
      <c r="A143" s="6" t="n">
        <v>1142</v>
      </c>
      <c r="B143" s="6" t="s">
        <v>216</v>
      </c>
      <c r="C143" s="6" t="n">
        <v>6</v>
      </c>
      <c r="D143" s="6" t="s">
        <v>307</v>
      </c>
      <c r="E143" s="6" t="s">
        <v>308</v>
      </c>
      <c r="F143" s="6" t="s">
        <v>309</v>
      </c>
      <c r="G143" s="6" t="s">
        <v>300</v>
      </c>
      <c r="H143" s="6" t="n">
        <v>3</v>
      </c>
      <c r="I143" s="6" t="s">
        <v>310</v>
      </c>
      <c r="J143" s="6" t="n">
        <v>9</v>
      </c>
      <c r="K143" s="6" t="n">
        <v>60</v>
      </c>
      <c r="L143" s="6" t="s">
        <v>270</v>
      </c>
      <c r="M143" s="7" t="s">
        <v>311</v>
      </c>
      <c r="N143" s="6" t="s">
        <v>105</v>
      </c>
      <c r="O143" s="6" t="s">
        <v>312</v>
      </c>
      <c r="P143" s="6" t="s">
        <v>313</v>
      </c>
      <c r="Q143" s="6" t="s">
        <v>275</v>
      </c>
      <c r="R143" s="6" t="s">
        <v>275</v>
      </c>
      <c r="S143" s="6" t="s">
        <v>314</v>
      </c>
      <c r="T143" s="6" t="s">
        <v>277</v>
      </c>
      <c r="U143" s="6" t="s">
        <v>315</v>
      </c>
      <c r="V143" s="6" t="s">
        <v>268</v>
      </c>
    </row>
    <row r="144" customFormat="false" ht="33.75" hidden="false" customHeight="true" outlineLevel="0" collapsed="false">
      <c r="A144" s="6" t="n">
        <v>1143</v>
      </c>
      <c r="B144" s="6" t="s">
        <v>220</v>
      </c>
      <c r="C144" s="6" t="n">
        <v>1</v>
      </c>
      <c r="D144" s="6" t="s">
        <v>331</v>
      </c>
      <c r="E144" s="6" t="s">
        <v>324</v>
      </c>
      <c r="F144" s="6" t="s">
        <v>332</v>
      </c>
      <c r="G144" s="6" t="s">
        <v>318</v>
      </c>
      <c r="H144" s="6" t="n">
        <v>4</v>
      </c>
      <c r="I144" s="6" t="s">
        <v>333</v>
      </c>
      <c r="J144" s="6" t="n">
        <v>8</v>
      </c>
      <c r="K144" s="6" t="n">
        <v>150</v>
      </c>
      <c r="L144" s="6" t="s">
        <v>334</v>
      </c>
      <c r="M144" s="7" t="s">
        <v>335</v>
      </c>
      <c r="N144" s="6" t="s">
        <v>105</v>
      </c>
      <c r="O144" s="6" t="s">
        <v>336</v>
      </c>
      <c r="P144" s="6" t="s">
        <v>328</v>
      </c>
      <c r="Q144" s="6" t="s">
        <v>274</v>
      </c>
      <c r="R144" s="6" t="s">
        <v>275</v>
      </c>
      <c r="S144" s="6" t="s">
        <v>337</v>
      </c>
      <c r="T144" s="6" t="s">
        <v>279</v>
      </c>
      <c r="U144" s="6" t="s">
        <v>338</v>
      </c>
      <c r="V144" s="6" t="s">
        <v>279</v>
      </c>
    </row>
    <row r="145" customFormat="false" ht="33.75" hidden="false" customHeight="true" outlineLevel="0" collapsed="false">
      <c r="A145" s="6" t="n">
        <v>1144</v>
      </c>
      <c r="B145" s="6" t="s">
        <v>220</v>
      </c>
      <c r="C145" s="6" t="n">
        <v>2</v>
      </c>
      <c r="D145" s="6" t="s">
        <v>323</v>
      </c>
      <c r="E145" s="6" t="s">
        <v>324</v>
      </c>
      <c r="F145" s="6" t="s">
        <v>325</v>
      </c>
      <c r="G145" s="6" t="s">
        <v>268</v>
      </c>
      <c r="H145" s="6" t="n">
        <v>4</v>
      </c>
      <c r="I145" s="6" t="s">
        <v>283</v>
      </c>
      <c r="J145" s="6" t="n">
        <v>8.5</v>
      </c>
      <c r="K145" s="6" t="n">
        <v>150</v>
      </c>
      <c r="L145" s="6" t="s">
        <v>320</v>
      </c>
      <c r="M145" s="7" t="s">
        <v>326</v>
      </c>
      <c r="N145" s="6" t="s">
        <v>105</v>
      </c>
      <c r="O145" s="6" t="s">
        <v>327</v>
      </c>
      <c r="P145" s="6" t="s">
        <v>328</v>
      </c>
      <c r="Q145" s="6" t="s">
        <v>274</v>
      </c>
      <c r="R145" s="6" t="s">
        <v>275</v>
      </c>
      <c r="S145" s="6" t="s">
        <v>329</v>
      </c>
      <c r="T145" s="6" t="s">
        <v>279</v>
      </c>
      <c r="U145" s="6" t="s">
        <v>330</v>
      </c>
      <c r="V145" s="6" t="s">
        <v>277</v>
      </c>
    </row>
    <row r="146" customFormat="false" ht="33.75" hidden="false" customHeight="true" outlineLevel="0" collapsed="false">
      <c r="A146" s="6" t="n">
        <v>1145</v>
      </c>
      <c r="B146" s="6" t="s">
        <v>220</v>
      </c>
      <c r="C146" s="6" t="n">
        <v>3</v>
      </c>
      <c r="D146" s="6" t="s">
        <v>339</v>
      </c>
      <c r="E146" s="6" t="s">
        <v>340</v>
      </c>
      <c r="F146" s="6" t="s">
        <v>341</v>
      </c>
      <c r="G146" s="6" t="s">
        <v>300</v>
      </c>
      <c r="H146" s="6" t="n">
        <v>3</v>
      </c>
      <c r="I146" s="6" t="s">
        <v>310</v>
      </c>
      <c r="J146" s="6" t="n">
        <v>8.5</v>
      </c>
      <c r="K146" s="6" t="n">
        <v>90</v>
      </c>
      <c r="L146" s="6" t="s">
        <v>320</v>
      </c>
      <c r="M146" s="7" t="s">
        <v>342</v>
      </c>
      <c r="N146" s="6" t="s">
        <v>105</v>
      </c>
      <c r="O146" s="6" t="s">
        <v>327</v>
      </c>
      <c r="P146" s="6" t="s">
        <v>328</v>
      </c>
      <c r="Q146" s="6" t="s">
        <v>274</v>
      </c>
      <c r="R146" s="6" t="s">
        <v>275</v>
      </c>
      <c r="S146" s="6" t="s">
        <v>329</v>
      </c>
      <c r="T146" s="6" t="s">
        <v>279</v>
      </c>
      <c r="U146" s="6" t="s">
        <v>330</v>
      </c>
      <c r="V146" s="6" t="s">
        <v>277</v>
      </c>
    </row>
    <row r="147" customFormat="false" ht="33.75" hidden="false" customHeight="true" outlineLevel="0" collapsed="false">
      <c r="A147" s="6" t="n">
        <v>1146</v>
      </c>
      <c r="B147" s="6" t="s">
        <v>220</v>
      </c>
      <c r="C147" s="6" t="n">
        <v>4</v>
      </c>
      <c r="D147" s="6" t="s">
        <v>349</v>
      </c>
      <c r="E147" s="6" t="s">
        <v>344</v>
      </c>
      <c r="F147" s="6" t="s">
        <v>448</v>
      </c>
      <c r="G147" s="6" t="s">
        <v>279</v>
      </c>
      <c r="H147" s="6" t="n">
        <v>3</v>
      </c>
      <c r="I147" s="6" t="s">
        <v>346</v>
      </c>
      <c r="J147" s="6" t="n">
        <v>9</v>
      </c>
      <c r="K147" s="6" t="n">
        <v>60</v>
      </c>
      <c r="L147" s="6" t="s">
        <v>302</v>
      </c>
      <c r="M147" s="7" t="s">
        <v>449</v>
      </c>
      <c r="N147" s="6" t="s">
        <v>105</v>
      </c>
      <c r="O147" s="6" t="s">
        <v>348</v>
      </c>
      <c r="P147" s="6" t="s">
        <v>287</v>
      </c>
      <c r="Q147" s="6" t="s">
        <v>275</v>
      </c>
      <c r="R147" s="6" t="s">
        <v>275</v>
      </c>
      <c r="S147" s="6" t="s">
        <v>450</v>
      </c>
      <c r="T147" s="6" t="s">
        <v>277</v>
      </c>
      <c r="U147" s="6" t="s">
        <v>451</v>
      </c>
      <c r="V147" s="6" t="s">
        <v>300</v>
      </c>
    </row>
    <row r="148" customFormat="false" ht="33.75" hidden="false" customHeight="true" outlineLevel="0" collapsed="false">
      <c r="A148" s="6" t="n">
        <v>1147</v>
      </c>
      <c r="B148" s="6" t="s">
        <v>220</v>
      </c>
      <c r="C148" s="6" t="n">
        <v>5</v>
      </c>
      <c r="D148" s="6" t="s">
        <v>364</v>
      </c>
      <c r="E148" s="6" t="s">
        <v>461</v>
      </c>
      <c r="F148" s="6" t="s">
        <v>359</v>
      </c>
      <c r="G148" s="6" t="s">
        <v>268</v>
      </c>
      <c r="H148" s="6" t="n">
        <v>3</v>
      </c>
      <c r="I148" s="6" t="s">
        <v>310</v>
      </c>
      <c r="J148" s="6" t="n">
        <v>9</v>
      </c>
      <c r="K148" s="6" t="n">
        <v>75</v>
      </c>
      <c r="L148" s="6" t="s">
        <v>334</v>
      </c>
      <c r="M148" s="7" t="s">
        <v>462</v>
      </c>
      <c r="N148" s="6" t="s">
        <v>105</v>
      </c>
      <c r="O148" s="6" t="s">
        <v>463</v>
      </c>
      <c r="P148" s="6" t="s">
        <v>362</v>
      </c>
      <c r="Q148" s="6" t="s">
        <v>275</v>
      </c>
      <c r="R148" s="6" t="s">
        <v>275</v>
      </c>
      <c r="S148" s="6" t="s">
        <v>464</v>
      </c>
      <c r="T148" s="6" t="s">
        <v>279</v>
      </c>
      <c r="U148" s="6" t="s">
        <v>465</v>
      </c>
      <c r="V148" s="6" t="s">
        <v>277</v>
      </c>
    </row>
    <row r="149" customFormat="false" ht="33.75" hidden="false" customHeight="true" outlineLevel="0" collapsed="false">
      <c r="A149" s="6" t="n">
        <v>1148</v>
      </c>
      <c r="B149" s="6" t="s">
        <v>220</v>
      </c>
      <c r="C149" s="6" t="n">
        <v>6</v>
      </c>
      <c r="D149" s="6" t="s">
        <v>369</v>
      </c>
      <c r="E149" s="6" t="s">
        <v>359</v>
      </c>
      <c r="F149" s="6" t="s">
        <v>466</v>
      </c>
      <c r="G149" s="6" t="s">
        <v>300</v>
      </c>
      <c r="H149" s="6" t="n">
        <v>3</v>
      </c>
      <c r="I149" s="6" t="s">
        <v>301</v>
      </c>
      <c r="J149" s="6" t="n">
        <v>9.5</v>
      </c>
      <c r="K149" s="6" t="n">
        <v>60</v>
      </c>
      <c r="L149" s="6" t="s">
        <v>302</v>
      </c>
      <c r="M149" s="7" t="s">
        <v>467</v>
      </c>
      <c r="N149" s="6" t="s">
        <v>105</v>
      </c>
      <c r="O149" s="6" t="s">
        <v>368</v>
      </c>
      <c r="P149" s="6" t="s">
        <v>362</v>
      </c>
      <c r="Q149" s="6" t="s">
        <v>275</v>
      </c>
      <c r="R149" s="6" t="s">
        <v>275</v>
      </c>
      <c r="S149" s="6" t="s">
        <v>365</v>
      </c>
      <c r="T149" s="6" t="s">
        <v>277</v>
      </c>
      <c r="U149" s="6" t="s">
        <v>370</v>
      </c>
      <c r="V149" s="6" t="s">
        <v>268</v>
      </c>
    </row>
    <row r="150" customFormat="false" ht="33.75" hidden="false" customHeight="true" outlineLevel="0" collapsed="false">
      <c r="A150" s="6" t="n">
        <v>1149</v>
      </c>
      <c r="B150" s="6" t="s">
        <v>224</v>
      </c>
      <c r="C150" s="6" t="n">
        <v>1</v>
      </c>
      <c r="D150" s="6" t="s">
        <v>371</v>
      </c>
      <c r="E150" s="6" t="s">
        <v>372</v>
      </c>
      <c r="F150" s="6" t="s">
        <v>373</v>
      </c>
      <c r="G150" s="6" t="s">
        <v>268</v>
      </c>
      <c r="H150" s="6" t="n">
        <v>4</v>
      </c>
      <c r="I150" s="6" t="s">
        <v>269</v>
      </c>
      <c r="J150" s="6" t="n">
        <v>8</v>
      </c>
      <c r="K150" s="6" t="n">
        <v>210</v>
      </c>
      <c r="L150" s="6" t="s">
        <v>270</v>
      </c>
      <c r="M150" s="7" t="s">
        <v>374</v>
      </c>
      <c r="N150" s="6" t="s">
        <v>105</v>
      </c>
      <c r="O150" s="6" t="s">
        <v>375</v>
      </c>
      <c r="P150" s="6" t="s">
        <v>376</v>
      </c>
      <c r="Q150" s="6" t="s">
        <v>274</v>
      </c>
      <c r="R150" s="6" t="s">
        <v>275</v>
      </c>
      <c r="S150" s="6" t="s">
        <v>377</v>
      </c>
      <c r="T150" s="6" t="s">
        <v>279</v>
      </c>
      <c r="U150" s="6" t="s">
        <v>378</v>
      </c>
      <c r="V150" s="6" t="s">
        <v>277</v>
      </c>
    </row>
    <row r="151" customFormat="false" ht="33.75" hidden="false" customHeight="true" outlineLevel="0" collapsed="false">
      <c r="A151" s="6" t="n">
        <v>1150</v>
      </c>
      <c r="B151" s="6" t="s">
        <v>224</v>
      </c>
      <c r="C151" s="6" t="n">
        <v>2</v>
      </c>
      <c r="D151" s="6" t="s">
        <v>379</v>
      </c>
      <c r="E151" s="6" t="s">
        <v>380</v>
      </c>
      <c r="F151" s="6" t="s">
        <v>381</v>
      </c>
      <c r="G151" s="6" t="s">
        <v>268</v>
      </c>
      <c r="H151" s="6" t="n">
        <v>3</v>
      </c>
      <c r="I151" s="6" t="s">
        <v>382</v>
      </c>
      <c r="J151" s="6" t="n">
        <v>8</v>
      </c>
      <c r="K151" s="6" t="n">
        <v>150</v>
      </c>
      <c r="L151" s="6" t="s">
        <v>270</v>
      </c>
      <c r="M151" s="7" t="s">
        <v>383</v>
      </c>
      <c r="N151" s="6" t="s">
        <v>105</v>
      </c>
      <c r="O151" s="6" t="s">
        <v>384</v>
      </c>
      <c r="P151" s="6" t="s">
        <v>385</v>
      </c>
      <c r="Q151" s="6" t="s">
        <v>274</v>
      </c>
      <c r="R151" s="6" t="s">
        <v>275</v>
      </c>
      <c r="S151" s="6" t="s">
        <v>386</v>
      </c>
      <c r="T151" s="6" t="s">
        <v>277</v>
      </c>
      <c r="U151" s="6" t="s">
        <v>387</v>
      </c>
      <c r="V151" s="6" t="s">
        <v>279</v>
      </c>
    </row>
    <row r="152" customFormat="false" ht="33.75" hidden="false" customHeight="true" outlineLevel="0" collapsed="false">
      <c r="A152" s="6" t="n">
        <v>1151</v>
      </c>
      <c r="B152" s="6" t="s">
        <v>224</v>
      </c>
      <c r="C152" s="6" t="n">
        <v>3</v>
      </c>
      <c r="D152" s="6" t="s">
        <v>388</v>
      </c>
      <c r="E152" s="6" t="s">
        <v>372</v>
      </c>
      <c r="F152" s="6" t="s">
        <v>389</v>
      </c>
      <c r="G152" s="6" t="s">
        <v>279</v>
      </c>
      <c r="H152" s="6" t="n">
        <v>3</v>
      </c>
      <c r="I152" s="6" t="s">
        <v>310</v>
      </c>
      <c r="J152" s="6" t="n">
        <v>8.5</v>
      </c>
      <c r="K152" s="6" t="n">
        <v>120</v>
      </c>
      <c r="L152" s="6" t="s">
        <v>320</v>
      </c>
      <c r="M152" s="7" t="s">
        <v>390</v>
      </c>
      <c r="N152" s="6" t="s">
        <v>105</v>
      </c>
      <c r="O152" s="6" t="s">
        <v>375</v>
      </c>
      <c r="P152" s="6" t="s">
        <v>376</v>
      </c>
      <c r="Q152" s="6" t="s">
        <v>274</v>
      </c>
      <c r="R152" s="6" t="s">
        <v>275</v>
      </c>
      <c r="S152" s="6" t="s">
        <v>391</v>
      </c>
      <c r="T152" s="6" t="s">
        <v>279</v>
      </c>
      <c r="U152" s="6" t="s">
        <v>371</v>
      </c>
      <c r="V152" s="6" t="s">
        <v>268</v>
      </c>
    </row>
    <row r="153" customFormat="false" ht="33.75" hidden="false" customHeight="true" outlineLevel="0" collapsed="false">
      <c r="A153" s="6" t="n">
        <v>1152</v>
      </c>
      <c r="B153" s="6" t="s">
        <v>224</v>
      </c>
      <c r="C153" s="6" t="n">
        <v>4</v>
      </c>
      <c r="D153" s="6" t="s">
        <v>402</v>
      </c>
      <c r="E153" s="6" t="s">
        <v>380</v>
      </c>
      <c r="F153" s="6" t="s">
        <v>405</v>
      </c>
      <c r="G153" s="6" t="s">
        <v>279</v>
      </c>
      <c r="H153" s="6" t="n">
        <v>3</v>
      </c>
      <c r="I153" s="6" t="s">
        <v>301</v>
      </c>
      <c r="J153" s="6" t="n">
        <v>9</v>
      </c>
      <c r="K153" s="6" t="n">
        <v>75</v>
      </c>
      <c r="L153" s="6" t="s">
        <v>270</v>
      </c>
      <c r="M153" s="7" t="s">
        <v>482</v>
      </c>
      <c r="N153" s="6" t="s">
        <v>105</v>
      </c>
      <c r="O153" s="6" t="s">
        <v>401</v>
      </c>
      <c r="P153" s="6" t="s">
        <v>385</v>
      </c>
      <c r="Q153" s="6" t="s">
        <v>275</v>
      </c>
      <c r="R153" s="6" t="s">
        <v>275</v>
      </c>
      <c r="S153" s="6" t="s">
        <v>398</v>
      </c>
      <c r="T153" s="6" t="s">
        <v>279</v>
      </c>
      <c r="U153" s="6" t="s">
        <v>403</v>
      </c>
      <c r="V153" s="6" t="s">
        <v>318</v>
      </c>
    </row>
    <row r="154" customFormat="false" ht="33.75" hidden="false" customHeight="true" outlineLevel="0" collapsed="false">
      <c r="A154" s="6" t="n">
        <v>1153</v>
      </c>
      <c r="B154" s="6" t="s">
        <v>224</v>
      </c>
      <c r="C154" s="6" t="n">
        <v>5</v>
      </c>
      <c r="D154" s="6" t="s">
        <v>483</v>
      </c>
      <c r="E154" s="6" t="s">
        <v>484</v>
      </c>
      <c r="F154" s="6" t="s">
        <v>485</v>
      </c>
      <c r="G154" s="6" t="s">
        <v>279</v>
      </c>
      <c r="H154" s="6" t="n">
        <v>3</v>
      </c>
      <c r="I154" s="6" t="s">
        <v>346</v>
      </c>
      <c r="J154" s="6" t="n">
        <v>9.5</v>
      </c>
      <c r="K154" s="6" t="n">
        <v>60</v>
      </c>
      <c r="L154" s="6" t="s">
        <v>302</v>
      </c>
      <c r="M154" s="7" t="s">
        <v>486</v>
      </c>
      <c r="N154" s="6" t="s">
        <v>105</v>
      </c>
      <c r="O154" s="6" t="s">
        <v>487</v>
      </c>
      <c r="P154" s="6" t="s">
        <v>376</v>
      </c>
      <c r="Q154" s="6" t="s">
        <v>275</v>
      </c>
      <c r="R154" s="6" t="s">
        <v>275</v>
      </c>
      <c r="S154" s="6" t="s">
        <v>488</v>
      </c>
      <c r="T154" s="6" t="s">
        <v>318</v>
      </c>
      <c r="U154" s="6" t="s">
        <v>489</v>
      </c>
      <c r="V154" s="6" t="s">
        <v>318</v>
      </c>
    </row>
    <row r="155" customFormat="false" ht="33.75" hidden="false" customHeight="true" outlineLevel="0" collapsed="false">
      <c r="A155" s="6" t="n">
        <v>1154</v>
      </c>
      <c r="B155" s="6" t="s">
        <v>224</v>
      </c>
      <c r="C155" s="6" t="n">
        <v>6</v>
      </c>
      <c r="D155" s="6" t="s">
        <v>404</v>
      </c>
      <c r="E155" s="6" t="s">
        <v>405</v>
      </c>
      <c r="F155" s="6" t="s">
        <v>406</v>
      </c>
      <c r="G155" s="6" t="s">
        <v>279</v>
      </c>
      <c r="H155" s="6" t="n">
        <v>4</v>
      </c>
      <c r="I155" s="6" t="s">
        <v>310</v>
      </c>
      <c r="J155" s="6" t="n">
        <v>9</v>
      </c>
      <c r="K155" s="6" t="n">
        <v>60</v>
      </c>
      <c r="L155" s="6" t="s">
        <v>407</v>
      </c>
      <c r="M155" s="7" t="s">
        <v>408</v>
      </c>
      <c r="N155" s="6" t="s">
        <v>105</v>
      </c>
      <c r="O155" s="6" t="s">
        <v>409</v>
      </c>
      <c r="P155" s="6" t="s">
        <v>410</v>
      </c>
      <c r="Q155" s="6" t="s">
        <v>275</v>
      </c>
      <c r="R155" s="6" t="s">
        <v>275</v>
      </c>
      <c r="S155" s="6" t="s">
        <v>411</v>
      </c>
      <c r="T155" s="6" t="s">
        <v>279</v>
      </c>
      <c r="U155" s="6" t="s">
        <v>412</v>
      </c>
      <c r="V155" s="6" t="s">
        <v>279</v>
      </c>
    </row>
    <row r="156" customFormat="false" ht="33.75" hidden="false" customHeight="true" outlineLevel="0" collapsed="false">
      <c r="A156" s="6" t="n">
        <v>1155</v>
      </c>
      <c r="B156" s="6" t="s">
        <v>227</v>
      </c>
      <c r="C156" s="6" t="n">
        <v>1</v>
      </c>
      <c r="D156" s="6" t="s">
        <v>414</v>
      </c>
      <c r="E156" s="6" t="s">
        <v>291</v>
      </c>
      <c r="F156" s="6" t="s">
        <v>267</v>
      </c>
      <c r="G156" s="6" t="s">
        <v>268</v>
      </c>
      <c r="H156" s="6" t="n">
        <v>4</v>
      </c>
      <c r="I156" s="6" t="s">
        <v>283</v>
      </c>
      <c r="J156" s="6" t="n">
        <v>8</v>
      </c>
      <c r="K156" s="6" t="n">
        <v>150</v>
      </c>
      <c r="L156" s="6" t="s">
        <v>270</v>
      </c>
      <c r="M156" s="7" t="s">
        <v>415</v>
      </c>
      <c r="N156" s="6" t="s">
        <v>105</v>
      </c>
      <c r="O156" s="6" t="s">
        <v>294</v>
      </c>
      <c r="P156" s="6" t="s">
        <v>273</v>
      </c>
      <c r="Q156" s="6" t="s">
        <v>274</v>
      </c>
      <c r="R156" s="6" t="s">
        <v>275</v>
      </c>
      <c r="S156" s="6" t="s">
        <v>290</v>
      </c>
      <c r="T156" s="6" t="s">
        <v>277</v>
      </c>
      <c r="U156" s="6" t="s">
        <v>416</v>
      </c>
      <c r="V156" s="6" t="s">
        <v>279</v>
      </c>
    </row>
    <row r="157" customFormat="false" ht="33.75" hidden="false" customHeight="true" outlineLevel="0" collapsed="false">
      <c r="A157" s="6" t="n">
        <v>1156</v>
      </c>
      <c r="B157" s="6" t="s">
        <v>227</v>
      </c>
      <c r="C157" s="6" t="n">
        <v>2</v>
      </c>
      <c r="D157" s="6" t="s">
        <v>441</v>
      </c>
      <c r="E157" s="6" t="s">
        <v>324</v>
      </c>
      <c r="F157" s="6" t="s">
        <v>332</v>
      </c>
      <c r="G157" s="6" t="s">
        <v>279</v>
      </c>
      <c r="H157" s="6" t="n">
        <v>4</v>
      </c>
      <c r="I157" s="6" t="s">
        <v>292</v>
      </c>
      <c r="J157" s="6" t="n">
        <v>8.5</v>
      </c>
      <c r="K157" s="6" t="n">
        <v>120</v>
      </c>
      <c r="L157" s="6" t="s">
        <v>334</v>
      </c>
      <c r="M157" s="7" t="s">
        <v>442</v>
      </c>
      <c r="N157" s="6" t="s">
        <v>105</v>
      </c>
      <c r="O157" s="6" t="s">
        <v>336</v>
      </c>
      <c r="P157" s="6" t="s">
        <v>328</v>
      </c>
      <c r="Q157" s="6" t="s">
        <v>274</v>
      </c>
      <c r="R157" s="6" t="s">
        <v>275</v>
      </c>
      <c r="S157" s="6" t="s">
        <v>331</v>
      </c>
      <c r="T157" s="6" t="s">
        <v>318</v>
      </c>
      <c r="U157" s="6" t="s">
        <v>338</v>
      </c>
      <c r="V157" s="6" t="s">
        <v>279</v>
      </c>
    </row>
    <row r="158" customFormat="false" ht="33.75" hidden="false" customHeight="true" outlineLevel="0" collapsed="false">
      <c r="A158" s="6" t="n">
        <v>1157</v>
      </c>
      <c r="B158" s="6" t="s">
        <v>227</v>
      </c>
      <c r="C158" s="6" t="n">
        <v>3</v>
      </c>
      <c r="D158" s="6" t="s">
        <v>417</v>
      </c>
      <c r="E158" s="6" t="s">
        <v>418</v>
      </c>
      <c r="F158" s="6" t="s">
        <v>419</v>
      </c>
      <c r="G158" s="6" t="s">
        <v>318</v>
      </c>
      <c r="H158" s="6" t="n">
        <v>3</v>
      </c>
      <c r="I158" s="6" t="s">
        <v>292</v>
      </c>
      <c r="J158" s="6" t="n">
        <v>8.5</v>
      </c>
      <c r="K158" s="6" t="n">
        <v>120</v>
      </c>
      <c r="L158" s="6" t="s">
        <v>270</v>
      </c>
      <c r="M158" s="7" t="s">
        <v>420</v>
      </c>
      <c r="N158" s="6" t="s">
        <v>105</v>
      </c>
      <c r="O158" s="6" t="s">
        <v>421</v>
      </c>
      <c r="P158" s="6" t="s">
        <v>273</v>
      </c>
      <c r="Q158" s="6" t="s">
        <v>274</v>
      </c>
      <c r="R158" s="6" t="s">
        <v>275</v>
      </c>
      <c r="S158" s="6" t="s">
        <v>422</v>
      </c>
      <c r="T158" s="6" t="s">
        <v>279</v>
      </c>
      <c r="U158" s="6" t="s">
        <v>423</v>
      </c>
      <c r="V158" s="6" t="s">
        <v>277</v>
      </c>
    </row>
    <row r="159" customFormat="false" ht="33.75" hidden="false" customHeight="true" outlineLevel="0" collapsed="false">
      <c r="A159" s="6" t="n">
        <v>1158</v>
      </c>
      <c r="B159" s="6" t="s">
        <v>227</v>
      </c>
      <c r="C159" s="6" t="n">
        <v>4</v>
      </c>
      <c r="D159" s="6" t="s">
        <v>445</v>
      </c>
      <c r="E159" s="6" t="s">
        <v>340</v>
      </c>
      <c r="F159" s="6" t="s">
        <v>341</v>
      </c>
      <c r="G159" s="6" t="s">
        <v>277</v>
      </c>
      <c r="H159" s="6" t="n">
        <v>3</v>
      </c>
      <c r="I159" s="6" t="s">
        <v>310</v>
      </c>
      <c r="J159" s="6" t="n">
        <v>8.5</v>
      </c>
      <c r="K159" s="6" t="n">
        <v>90</v>
      </c>
      <c r="L159" s="6" t="s">
        <v>320</v>
      </c>
      <c r="M159" s="7" t="s">
        <v>549</v>
      </c>
      <c r="N159" s="6" t="s">
        <v>105</v>
      </c>
      <c r="O159" s="6" t="s">
        <v>327</v>
      </c>
      <c r="P159" s="6" t="s">
        <v>328</v>
      </c>
      <c r="Q159" s="6" t="s">
        <v>274</v>
      </c>
      <c r="R159" s="6" t="s">
        <v>275</v>
      </c>
      <c r="S159" s="6" t="s">
        <v>329</v>
      </c>
      <c r="T159" s="6" t="s">
        <v>279</v>
      </c>
      <c r="U159" s="6" t="s">
        <v>444</v>
      </c>
      <c r="V159" s="6" t="s">
        <v>300</v>
      </c>
    </row>
    <row r="160" customFormat="false" ht="33.75" hidden="false" customHeight="true" outlineLevel="0" collapsed="false">
      <c r="A160" s="6" t="n">
        <v>1159</v>
      </c>
      <c r="B160" s="6" t="s">
        <v>227</v>
      </c>
      <c r="C160" s="6" t="n">
        <v>5</v>
      </c>
      <c r="D160" s="6" t="s">
        <v>305</v>
      </c>
      <c r="E160" s="6" t="s">
        <v>298</v>
      </c>
      <c r="F160" s="6" t="s">
        <v>431</v>
      </c>
      <c r="G160" s="6" t="s">
        <v>277</v>
      </c>
      <c r="H160" s="6" t="n">
        <v>4</v>
      </c>
      <c r="I160" s="6" t="s">
        <v>432</v>
      </c>
      <c r="J160" s="6" t="n">
        <v>9.5</v>
      </c>
      <c r="K160" s="6" t="n">
        <v>60</v>
      </c>
      <c r="L160" s="6" t="s">
        <v>302</v>
      </c>
      <c r="M160" s="7" t="s">
        <v>514</v>
      </c>
      <c r="N160" s="6" t="s">
        <v>105</v>
      </c>
      <c r="O160" s="6" t="s">
        <v>304</v>
      </c>
      <c r="P160" s="6" t="s">
        <v>287</v>
      </c>
      <c r="Q160" s="6" t="s">
        <v>275</v>
      </c>
      <c r="R160" s="6" t="s">
        <v>275</v>
      </c>
      <c r="S160" s="6" t="s">
        <v>297</v>
      </c>
      <c r="T160" s="6" t="s">
        <v>300</v>
      </c>
      <c r="U160" s="6" t="s">
        <v>306</v>
      </c>
      <c r="V160" s="6" t="s">
        <v>279</v>
      </c>
    </row>
    <row r="161" customFormat="false" ht="33.75" hidden="false" customHeight="true" outlineLevel="0" collapsed="false">
      <c r="A161" s="6" t="n">
        <v>1160</v>
      </c>
      <c r="B161" s="6" t="s">
        <v>227</v>
      </c>
      <c r="C161" s="6" t="n">
        <v>6</v>
      </c>
      <c r="D161" s="6" t="s">
        <v>357</v>
      </c>
      <c r="E161" s="6" t="s">
        <v>358</v>
      </c>
      <c r="F161" s="6" t="s">
        <v>359</v>
      </c>
      <c r="G161" s="6" t="s">
        <v>277</v>
      </c>
      <c r="H161" s="6" t="n">
        <v>3</v>
      </c>
      <c r="I161" s="6" t="s">
        <v>310</v>
      </c>
      <c r="J161" s="6" t="n">
        <v>9</v>
      </c>
      <c r="K161" s="6" t="n">
        <v>60</v>
      </c>
      <c r="L161" s="6" t="s">
        <v>334</v>
      </c>
      <c r="M161" s="7" t="s">
        <v>360</v>
      </c>
      <c r="N161" s="6" t="s">
        <v>105</v>
      </c>
      <c r="O161" s="6" t="s">
        <v>361</v>
      </c>
      <c r="P161" s="6" t="s">
        <v>362</v>
      </c>
      <c r="Q161" s="6" t="s">
        <v>275</v>
      </c>
      <c r="R161" s="6" t="s">
        <v>275</v>
      </c>
      <c r="S161" s="6" t="s">
        <v>363</v>
      </c>
      <c r="T161" s="6" t="s">
        <v>300</v>
      </c>
      <c r="U161" s="6" t="s">
        <v>364</v>
      </c>
      <c r="V161" s="6" t="s">
        <v>268</v>
      </c>
    </row>
    <row r="162" customFormat="false" ht="33.75" hidden="false" customHeight="true" outlineLevel="0" collapsed="false">
      <c r="A162" s="6" t="n">
        <v>1161</v>
      </c>
      <c r="B162" s="6" t="s">
        <v>227</v>
      </c>
      <c r="C162" s="6" t="n">
        <v>7</v>
      </c>
      <c r="D162" s="6" t="s">
        <v>434</v>
      </c>
      <c r="E162" s="6" t="s">
        <v>435</v>
      </c>
      <c r="F162" s="6" t="s">
        <v>436</v>
      </c>
      <c r="G162" s="6" t="s">
        <v>300</v>
      </c>
      <c r="H162" s="6" t="n">
        <v>3</v>
      </c>
      <c r="I162" s="6" t="s">
        <v>301</v>
      </c>
      <c r="J162" s="6" t="n">
        <v>9.5</v>
      </c>
      <c r="K162" s="6" t="n">
        <v>60</v>
      </c>
      <c r="L162" s="6" t="s">
        <v>302</v>
      </c>
      <c r="M162" s="7" t="s">
        <v>437</v>
      </c>
      <c r="N162" s="6" t="s">
        <v>105</v>
      </c>
      <c r="O162" s="6" t="s">
        <v>438</v>
      </c>
      <c r="P162" s="6" t="s">
        <v>313</v>
      </c>
      <c r="Q162" s="6" t="s">
        <v>275</v>
      </c>
      <c r="R162" s="6" t="s">
        <v>275</v>
      </c>
      <c r="S162" s="6" t="s">
        <v>439</v>
      </c>
      <c r="T162" s="6" t="s">
        <v>300</v>
      </c>
      <c r="U162" s="6" t="s">
        <v>440</v>
      </c>
      <c r="V162" s="6" t="s">
        <v>318</v>
      </c>
    </row>
    <row r="163" customFormat="false" ht="33.75" hidden="false" customHeight="true" outlineLevel="0" collapsed="false">
      <c r="A163" s="6" t="n">
        <v>1162</v>
      </c>
      <c r="B163" s="6" t="s">
        <v>231</v>
      </c>
      <c r="C163" s="6" t="n">
        <v>1</v>
      </c>
      <c r="D163" s="6" t="s">
        <v>391</v>
      </c>
      <c r="E163" s="6" t="s">
        <v>372</v>
      </c>
      <c r="F163" s="6" t="s">
        <v>475</v>
      </c>
      <c r="G163" s="6" t="s">
        <v>279</v>
      </c>
      <c r="H163" s="6" t="n">
        <v>4</v>
      </c>
      <c r="I163" s="6" t="s">
        <v>382</v>
      </c>
      <c r="J163" s="6" t="n">
        <v>8.5</v>
      </c>
      <c r="K163" s="6" t="n">
        <v>150</v>
      </c>
      <c r="L163" s="6" t="s">
        <v>270</v>
      </c>
      <c r="M163" s="7" t="s">
        <v>530</v>
      </c>
      <c r="N163" s="6" t="s">
        <v>105</v>
      </c>
      <c r="O163" s="6" t="s">
        <v>375</v>
      </c>
      <c r="P163" s="6" t="s">
        <v>376</v>
      </c>
      <c r="Q163" s="6" t="s">
        <v>274</v>
      </c>
      <c r="R163" s="6" t="s">
        <v>275</v>
      </c>
      <c r="S163" s="6" t="s">
        <v>371</v>
      </c>
      <c r="T163" s="6" t="s">
        <v>268</v>
      </c>
      <c r="U163" s="6" t="s">
        <v>388</v>
      </c>
      <c r="V163" s="6" t="s">
        <v>279</v>
      </c>
    </row>
    <row r="164" customFormat="false" ht="33.75" hidden="false" customHeight="true" outlineLevel="0" collapsed="false">
      <c r="A164" s="6" t="n">
        <v>1163</v>
      </c>
      <c r="B164" s="6" t="s">
        <v>231</v>
      </c>
      <c r="C164" s="6" t="n">
        <v>2</v>
      </c>
      <c r="D164" s="6" t="s">
        <v>474</v>
      </c>
      <c r="E164" s="6" t="s">
        <v>475</v>
      </c>
      <c r="F164" s="6" t="s">
        <v>476</v>
      </c>
      <c r="G164" s="6" t="s">
        <v>268</v>
      </c>
      <c r="H164" s="6" t="n">
        <v>4</v>
      </c>
      <c r="I164" s="6" t="s">
        <v>292</v>
      </c>
      <c r="J164" s="6" t="n">
        <v>8.5</v>
      </c>
      <c r="K164" s="6" t="n">
        <v>120</v>
      </c>
      <c r="L164" s="6" t="s">
        <v>455</v>
      </c>
      <c r="M164" s="7" t="s">
        <v>477</v>
      </c>
      <c r="N164" s="6" t="s">
        <v>105</v>
      </c>
      <c r="O164" s="6" t="s">
        <v>478</v>
      </c>
      <c r="P164" s="6" t="s">
        <v>479</v>
      </c>
      <c r="Q164" s="6" t="s">
        <v>274</v>
      </c>
      <c r="R164" s="6" t="s">
        <v>275</v>
      </c>
      <c r="S164" s="6" t="s">
        <v>480</v>
      </c>
      <c r="T164" s="6" t="s">
        <v>279</v>
      </c>
      <c r="U164" s="6" t="s">
        <v>481</v>
      </c>
      <c r="V164" s="6" t="s">
        <v>268</v>
      </c>
    </row>
    <row r="165" customFormat="false" ht="33.75" hidden="false" customHeight="true" outlineLevel="0" collapsed="false">
      <c r="A165" s="6" t="n">
        <v>1164</v>
      </c>
      <c r="B165" s="6" t="s">
        <v>231</v>
      </c>
      <c r="C165" s="6" t="n">
        <v>3</v>
      </c>
      <c r="D165" s="6" t="s">
        <v>392</v>
      </c>
      <c r="E165" s="6" t="s">
        <v>372</v>
      </c>
      <c r="F165" s="6" t="s">
        <v>389</v>
      </c>
      <c r="G165" s="6" t="s">
        <v>277</v>
      </c>
      <c r="H165" s="6" t="n">
        <v>3</v>
      </c>
      <c r="I165" s="6" t="s">
        <v>393</v>
      </c>
      <c r="J165" s="6" t="n">
        <v>8.5</v>
      </c>
      <c r="K165" s="6" t="n">
        <v>120</v>
      </c>
      <c r="L165" s="6" t="s">
        <v>334</v>
      </c>
      <c r="M165" s="7" t="s">
        <v>394</v>
      </c>
      <c r="N165" s="6" t="s">
        <v>105</v>
      </c>
      <c r="O165" s="6" t="s">
        <v>395</v>
      </c>
      <c r="P165" s="6" t="s">
        <v>376</v>
      </c>
      <c r="Q165" s="6" t="s">
        <v>274</v>
      </c>
      <c r="R165" s="6" t="s">
        <v>274</v>
      </c>
      <c r="S165" s="6" t="s">
        <v>396</v>
      </c>
      <c r="T165" s="6" t="s">
        <v>277</v>
      </c>
      <c r="U165" s="6" t="s">
        <v>397</v>
      </c>
      <c r="V165" s="6" t="s">
        <v>277</v>
      </c>
    </row>
    <row r="166" customFormat="false" ht="33.75" hidden="false" customHeight="true" outlineLevel="0" collapsed="false">
      <c r="A166" s="6" t="n">
        <v>1165</v>
      </c>
      <c r="B166" s="6" t="s">
        <v>231</v>
      </c>
      <c r="C166" s="6" t="n">
        <v>4</v>
      </c>
      <c r="D166" s="6" t="s">
        <v>398</v>
      </c>
      <c r="E166" s="6" t="s">
        <v>380</v>
      </c>
      <c r="F166" s="6" t="s">
        <v>399</v>
      </c>
      <c r="G166" s="6" t="s">
        <v>279</v>
      </c>
      <c r="H166" s="6" t="n">
        <v>3</v>
      </c>
      <c r="I166" s="6" t="s">
        <v>301</v>
      </c>
      <c r="J166" s="6" t="n">
        <v>9</v>
      </c>
      <c r="K166" s="6" t="n">
        <v>75</v>
      </c>
      <c r="L166" s="6" t="s">
        <v>270</v>
      </c>
      <c r="M166" s="7" t="s">
        <v>400</v>
      </c>
      <c r="N166" s="6" t="s">
        <v>105</v>
      </c>
      <c r="O166" s="6" t="s">
        <v>401</v>
      </c>
      <c r="P166" s="6" t="s">
        <v>385</v>
      </c>
      <c r="Q166" s="6" t="s">
        <v>275</v>
      </c>
      <c r="R166" s="6" t="s">
        <v>275</v>
      </c>
      <c r="S166" s="6" t="s">
        <v>402</v>
      </c>
      <c r="T166" s="6" t="s">
        <v>279</v>
      </c>
      <c r="U166" s="6" t="s">
        <v>403</v>
      </c>
      <c r="V166" s="6" t="s">
        <v>318</v>
      </c>
    </row>
    <row r="167" customFormat="false" ht="33.75" hidden="false" customHeight="true" outlineLevel="0" collapsed="false">
      <c r="A167" s="6" t="n">
        <v>1166</v>
      </c>
      <c r="B167" s="6" t="s">
        <v>231</v>
      </c>
      <c r="C167" s="6" t="n">
        <v>5</v>
      </c>
      <c r="D167" s="6" t="s">
        <v>493</v>
      </c>
      <c r="E167" s="6" t="s">
        <v>406</v>
      </c>
      <c r="F167" s="6" t="s">
        <v>405</v>
      </c>
      <c r="G167" s="6" t="s">
        <v>279</v>
      </c>
      <c r="H167" s="6" t="n">
        <v>4</v>
      </c>
      <c r="I167" s="6" t="s">
        <v>301</v>
      </c>
      <c r="J167" s="6" t="n">
        <v>9.5</v>
      </c>
      <c r="K167" s="6" t="n">
        <v>60</v>
      </c>
      <c r="L167" s="6" t="s">
        <v>407</v>
      </c>
      <c r="M167" s="7" t="s">
        <v>494</v>
      </c>
      <c r="N167" s="6" t="s">
        <v>105</v>
      </c>
      <c r="O167" s="6" t="s">
        <v>409</v>
      </c>
      <c r="P167" s="6" t="s">
        <v>410</v>
      </c>
      <c r="Q167" s="6" t="s">
        <v>275</v>
      </c>
      <c r="R167" s="6" t="s">
        <v>275</v>
      </c>
      <c r="S167" s="6" t="s">
        <v>495</v>
      </c>
      <c r="T167" s="6" t="s">
        <v>279</v>
      </c>
      <c r="U167" s="6" t="s">
        <v>496</v>
      </c>
      <c r="V167" s="6" t="s">
        <v>279</v>
      </c>
    </row>
    <row r="168" customFormat="false" ht="33.75" hidden="false" customHeight="true" outlineLevel="0" collapsed="false">
      <c r="A168" s="6" t="n">
        <v>1167</v>
      </c>
      <c r="B168" s="6" t="s">
        <v>231</v>
      </c>
      <c r="C168" s="6" t="n">
        <v>6</v>
      </c>
      <c r="D168" s="6" t="s">
        <v>497</v>
      </c>
      <c r="E168" s="6" t="s">
        <v>498</v>
      </c>
      <c r="F168" s="6" t="s">
        <v>499</v>
      </c>
      <c r="G168" s="6" t="s">
        <v>318</v>
      </c>
      <c r="H168" s="6" t="n">
        <v>3</v>
      </c>
      <c r="I168" s="6" t="s">
        <v>500</v>
      </c>
      <c r="J168" s="6" t="n">
        <v>9</v>
      </c>
      <c r="K168" s="6" t="n">
        <v>60</v>
      </c>
      <c r="L168" s="6" t="s">
        <v>302</v>
      </c>
      <c r="M168" s="7" t="s">
        <v>501</v>
      </c>
      <c r="N168" s="6" t="s">
        <v>105</v>
      </c>
      <c r="O168" s="6" t="s">
        <v>502</v>
      </c>
      <c r="P168" s="6" t="s">
        <v>503</v>
      </c>
      <c r="Q168" s="6" t="s">
        <v>275</v>
      </c>
      <c r="R168" s="6" t="s">
        <v>275</v>
      </c>
      <c r="S168" s="6" t="s">
        <v>504</v>
      </c>
      <c r="T168" s="6" t="s">
        <v>279</v>
      </c>
      <c r="U168" s="6" t="s">
        <v>505</v>
      </c>
      <c r="V168" s="6" t="s">
        <v>318</v>
      </c>
    </row>
    <row r="169" customFormat="false" ht="33.75" hidden="false" customHeight="true" outlineLevel="0" collapsed="false">
      <c r="A169" s="6" t="n">
        <v>1168</v>
      </c>
      <c r="B169" s="6" t="s">
        <v>234</v>
      </c>
      <c r="C169" s="6" t="n">
        <v>1</v>
      </c>
      <c r="D169" s="6" t="s">
        <v>414</v>
      </c>
      <c r="E169" s="6" t="s">
        <v>291</v>
      </c>
      <c r="F169" s="6" t="s">
        <v>267</v>
      </c>
      <c r="G169" s="6" t="s">
        <v>268</v>
      </c>
      <c r="H169" s="6" t="n">
        <v>4</v>
      </c>
      <c r="I169" s="6" t="s">
        <v>283</v>
      </c>
      <c r="J169" s="6" t="n">
        <v>8</v>
      </c>
      <c r="K169" s="6" t="n">
        <v>150</v>
      </c>
      <c r="L169" s="6" t="s">
        <v>270</v>
      </c>
      <c r="M169" s="7" t="s">
        <v>550</v>
      </c>
      <c r="N169" s="6" t="s">
        <v>110</v>
      </c>
      <c r="O169" s="6" t="s">
        <v>294</v>
      </c>
      <c r="P169" s="6" t="s">
        <v>273</v>
      </c>
      <c r="Q169" s="6" t="s">
        <v>274</v>
      </c>
      <c r="R169" s="6" t="s">
        <v>275</v>
      </c>
      <c r="S169" s="6" t="s">
        <v>290</v>
      </c>
      <c r="T169" s="6" t="s">
        <v>277</v>
      </c>
      <c r="U169" s="6" t="s">
        <v>416</v>
      </c>
      <c r="V169" s="6" t="s">
        <v>279</v>
      </c>
    </row>
    <row r="170" customFormat="false" ht="33.75" hidden="false" customHeight="true" outlineLevel="0" collapsed="false">
      <c r="A170" s="6" t="n">
        <v>1169</v>
      </c>
      <c r="B170" s="6" t="s">
        <v>234</v>
      </c>
      <c r="C170" s="6" t="n">
        <v>2</v>
      </c>
      <c r="D170" s="6" t="s">
        <v>551</v>
      </c>
      <c r="E170" s="6" t="s">
        <v>266</v>
      </c>
      <c r="F170" s="6" t="s">
        <v>267</v>
      </c>
      <c r="G170" s="6" t="s">
        <v>277</v>
      </c>
      <c r="H170" s="6" t="n">
        <v>3</v>
      </c>
      <c r="I170" s="6" t="s">
        <v>292</v>
      </c>
      <c r="J170" s="6" t="n">
        <v>8.5</v>
      </c>
      <c r="K170" s="6" t="n">
        <v>120</v>
      </c>
      <c r="L170" s="6" t="s">
        <v>270</v>
      </c>
      <c r="M170" s="7" t="s">
        <v>552</v>
      </c>
      <c r="N170" s="6" t="s">
        <v>110</v>
      </c>
      <c r="O170" s="6" t="s">
        <v>272</v>
      </c>
      <c r="P170" s="6" t="s">
        <v>273</v>
      </c>
      <c r="Q170" s="6" t="s">
        <v>274</v>
      </c>
      <c r="R170" s="6" t="s">
        <v>275</v>
      </c>
      <c r="S170" s="6" t="s">
        <v>265</v>
      </c>
      <c r="T170" s="6" t="s">
        <v>268</v>
      </c>
      <c r="U170" s="6" t="s">
        <v>278</v>
      </c>
      <c r="V170" s="6" t="s">
        <v>279</v>
      </c>
    </row>
    <row r="171" customFormat="false" ht="33.75" hidden="false" customHeight="true" outlineLevel="0" collapsed="false">
      <c r="A171" s="6" t="n">
        <v>1170</v>
      </c>
      <c r="B171" s="6" t="s">
        <v>234</v>
      </c>
      <c r="C171" s="6" t="n">
        <v>3</v>
      </c>
      <c r="D171" s="6" t="s">
        <v>417</v>
      </c>
      <c r="E171" s="6" t="s">
        <v>418</v>
      </c>
      <c r="F171" s="6" t="s">
        <v>419</v>
      </c>
      <c r="G171" s="6" t="s">
        <v>318</v>
      </c>
      <c r="H171" s="6" t="n">
        <v>3</v>
      </c>
      <c r="I171" s="6" t="s">
        <v>292</v>
      </c>
      <c r="J171" s="6" t="n">
        <v>8.5</v>
      </c>
      <c r="K171" s="6" t="n">
        <v>120</v>
      </c>
      <c r="L171" s="6" t="s">
        <v>270</v>
      </c>
      <c r="M171" s="7" t="s">
        <v>420</v>
      </c>
      <c r="N171" s="6" t="s">
        <v>110</v>
      </c>
      <c r="O171" s="6" t="s">
        <v>421</v>
      </c>
      <c r="P171" s="6" t="s">
        <v>273</v>
      </c>
      <c r="Q171" s="6" t="s">
        <v>274</v>
      </c>
      <c r="R171" s="6" t="s">
        <v>275</v>
      </c>
      <c r="S171" s="6" t="s">
        <v>422</v>
      </c>
      <c r="T171" s="6" t="s">
        <v>279</v>
      </c>
      <c r="U171" s="6" t="s">
        <v>423</v>
      </c>
      <c r="V171" s="6" t="s">
        <v>277</v>
      </c>
    </row>
    <row r="172" customFormat="false" ht="33.75" hidden="false" customHeight="true" outlineLevel="0" collapsed="false">
      <c r="A172" s="6" t="n">
        <v>1171</v>
      </c>
      <c r="B172" s="6" t="s">
        <v>234</v>
      </c>
      <c r="C172" s="6" t="n">
        <v>4</v>
      </c>
      <c r="D172" s="6" t="s">
        <v>553</v>
      </c>
      <c r="E172" s="6" t="s">
        <v>418</v>
      </c>
      <c r="F172" s="6" t="s">
        <v>281</v>
      </c>
      <c r="G172" s="6" t="s">
        <v>300</v>
      </c>
      <c r="H172" s="6" t="n">
        <v>3</v>
      </c>
      <c r="I172" s="6" t="s">
        <v>301</v>
      </c>
      <c r="J172" s="6" t="n">
        <v>9</v>
      </c>
      <c r="K172" s="6" t="n">
        <v>60</v>
      </c>
      <c r="L172" s="6" t="s">
        <v>426</v>
      </c>
      <c r="M172" s="7" t="s">
        <v>554</v>
      </c>
      <c r="N172" s="6" t="s">
        <v>110</v>
      </c>
      <c r="O172" s="6" t="s">
        <v>428</v>
      </c>
      <c r="P172" s="6" t="s">
        <v>273</v>
      </c>
      <c r="Q172" s="6" t="s">
        <v>275</v>
      </c>
      <c r="R172" s="6" t="s">
        <v>275</v>
      </c>
      <c r="S172" s="6" t="s">
        <v>555</v>
      </c>
      <c r="T172" s="6" t="s">
        <v>277</v>
      </c>
      <c r="U172" s="6" t="s">
        <v>424</v>
      </c>
      <c r="V172" s="6" t="s">
        <v>279</v>
      </c>
    </row>
    <row r="173" customFormat="false" ht="33.75" hidden="false" customHeight="true" outlineLevel="0" collapsed="false">
      <c r="A173" s="6" t="n">
        <v>1172</v>
      </c>
      <c r="B173" s="6" t="s">
        <v>234</v>
      </c>
      <c r="C173" s="6" t="n">
        <v>5</v>
      </c>
      <c r="D173" s="6" t="s">
        <v>307</v>
      </c>
      <c r="E173" s="6" t="s">
        <v>308</v>
      </c>
      <c r="F173" s="6" t="s">
        <v>309</v>
      </c>
      <c r="G173" s="6" t="s">
        <v>300</v>
      </c>
      <c r="H173" s="6" t="n">
        <v>3</v>
      </c>
      <c r="I173" s="6" t="s">
        <v>310</v>
      </c>
      <c r="J173" s="6" t="n">
        <v>9</v>
      </c>
      <c r="K173" s="6" t="n">
        <v>75</v>
      </c>
      <c r="L173" s="6" t="s">
        <v>270</v>
      </c>
      <c r="M173" s="7" t="s">
        <v>311</v>
      </c>
      <c r="N173" s="6" t="s">
        <v>110</v>
      </c>
      <c r="O173" s="6" t="s">
        <v>312</v>
      </c>
      <c r="P173" s="6" t="s">
        <v>313</v>
      </c>
      <c r="Q173" s="6" t="s">
        <v>275</v>
      </c>
      <c r="R173" s="6" t="s">
        <v>275</v>
      </c>
      <c r="S173" s="6" t="s">
        <v>314</v>
      </c>
      <c r="T173" s="6" t="s">
        <v>277</v>
      </c>
      <c r="U173" s="6" t="s">
        <v>315</v>
      </c>
      <c r="V173" s="6" t="s">
        <v>268</v>
      </c>
    </row>
    <row r="174" customFormat="false" ht="33.75" hidden="false" customHeight="true" outlineLevel="0" collapsed="false">
      <c r="A174" s="6" t="n">
        <v>1173</v>
      </c>
      <c r="B174" s="6" t="s">
        <v>234</v>
      </c>
      <c r="C174" s="6" t="n">
        <v>6</v>
      </c>
      <c r="D174" s="6" t="s">
        <v>434</v>
      </c>
      <c r="E174" s="6" t="s">
        <v>435</v>
      </c>
      <c r="F174" s="6" t="s">
        <v>436</v>
      </c>
      <c r="G174" s="6" t="s">
        <v>300</v>
      </c>
      <c r="H174" s="6" t="n">
        <v>3</v>
      </c>
      <c r="I174" s="6" t="s">
        <v>301</v>
      </c>
      <c r="J174" s="6" t="n">
        <v>9.5</v>
      </c>
      <c r="K174" s="6" t="n">
        <v>60</v>
      </c>
      <c r="L174" s="6" t="s">
        <v>302</v>
      </c>
      <c r="M174" s="7" t="s">
        <v>437</v>
      </c>
      <c r="N174" s="6" t="s">
        <v>110</v>
      </c>
      <c r="O174" s="6" t="s">
        <v>438</v>
      </c>
      <c r="P174" s="6" t="s">
        <v>313</v>
      </c>
      <c r="Q174" s="6" t="s">
        <v>275</v>
      </c>
      <c r="R174" s="6" t="s">
        <v>275</v>
      </c>
      <c r="S174" s="6" t="s">
        <v>439</v>
      </c>
      <c r="T174" s="6" t="s">
        <v>300</v>
      </c>
      <c r="U174" s="6" t="s">
        <v>440</v>
      </c>
      <c r="V174" s="6" t="s">
        <v>318</v>
      </c>
    </row>
    <row r="175" customFormat="false" ht="33.75" hidden="false" customHeight="true" outlineLevel="0" collapsed="false">
      <c r="A175" s="6" t="n">
        <v>1174</v>
      </c>
      <c r="B175" s="6" t="s">
        <v>238</v>
      </c>
      <c r="C175" s="6" t="n">
        <v>1</v>
      </c>
      <c r="D175" s="6" t="s">
        <v>331</v>
      </c>
      <c r="E175" s="6" t="s">
        <v>324</v>
      </c>
      <c r="F175" s="6" t="s">
        <v>332</v>
      </c>
      <c r="G175" s="6" t="s">
        <v>318</v>
      </c>
      <c r="H175" s="6" t="n">
        <v>4</v>
      </c>
      <c r="I175" s="6" t="s">
        <v>283</v>
      </c>
      <c r="J175" s="6" t="n">
        <v>8</v>
      </c>
      <c r="K175" s="6" t="n">
        <v>150</v>
      </c>
      <c r="L175" s="6" t="s">
        <v>334</v>
      </c>
      <c r="M175" s="7" t="s">
        <v>335</v>
      </c>
      <c r="N175" s="6" t="s">
        <v>110</v>
      </c>
      <c r="O175" s="6" t="s">
        <v>336</v>
      </c>
      <c r="P175" s="6" t="s">
        <v>328</v>
      </c>
      <c r="Q175" s="6" t="s">
        <v>274</v>
      </c>
      <c r="R175" s="6" t="s">
        <v>275</v>
      </c>
      <c r="S175" s="6" t="s">
        <v>337</v>
      </c>
      <c r="T175" s="6" t="s">
        <v>279</v>
      </c>
      <c r="U175" s="6" t="s">
        <v>338</v>
      </c>
      <c r="V175" s="6" t="s">
        <v>279</v>
      </c>
    </row>
    <row r="176" customFormat="false" ht="33.75" hidden="false" customHeight="true" outlineLevel="0" collapsed="false">
      <c r="A176" s="6" t="n">
        <v>1175</v>
      </c>
      <c r="B176" s="6" t="s">
        <v>238</v>
      </c>
      <c r="C176" s="6" t="n">
        <v>2</v>
      </c>
      <c r="D176" s="6" t="s">
        <v>445</v>
      </c>
      <c r="E176" s="6" t="s">
        <v>340</v>
      </c>
      <c r="F176" s="6" t="s">
        <v>341</v>
      </c>
      <c r="G176" s="6" t="s">
        <v>277</v>
      </c>
      <c r="H176" s="6" t="n">
        <v>4</v>
      </c>
      <c r="I176" s="6" t="s">
        <v>382</v>
      </c>
      <c r="J176" s="6" t="n">
        <v>8.5</v>
      </c>
      <c r="K176" s="6" t="n">
        <v>120</v>
      </c>
      <c r="L176" s="6" t="s">
        <v>320</v>
      </c>
      <c r="M176" s="7" t="s">
        <v>549</v>
      </c>
      <c r="N176" s="6" t="s">
        <v>110</v>
      </c>
      <c r="O176" s="6" t="s">
        <v>327</v>
      </c>
      <c r="P176" s="6" t="s">
        <v>328</v>
      </c>
      <c r="Q176" s="6" t="s">
        <v>274</v>
      </c>
      <c r="R176" s="6" t="s">
        <v>275</v>
      </c>
      <c r="S176" s="6" t="s">
        <v>329</v>
      </c>
      <c r="T176" s="6" t="s">
        <v>279</v>
      </c>
      <c r="U176" s="6" t="s">
        <v>444</v>
      </c>
      <c r="V176" s="6" t="s">
        <v>300</v>
      </c>
    </row>
    <row r="177" customFormat="false" ht="33.75" hidden="false" customHeight="true" outlineLevel="0" collapsed="false">
      <c r="A177" s="6" t="n">
        <v>1176</v>
      </c>
      <c r="B177" s="6" t="s">
        <v>238</v>
      </c>
      <c r="C177" s="6" t="n">
        <v>3</v>
      </c>
      <c r="D177" s="6" t="s">
        <v>446</v>
      </c>
      <c r="E177" s="6" t="s">
        <v>324</v>
      </c>
      <c r="F177" s="6" t="s">
        <v>332</v>
      </c>
      <c r="G177" s="6" t="s">
        <v>300</v>
      </c>
      <c r="H177" s="6" t="n">
        <v>3</v>
      </c>
      <c r="I177" s="6" t="s">
        <v>310</v>
      </c>
      <c r="J177" s="6" t="n">
        <v>8.5</v>
      </c>
      <c r="K177" s="6" t="n">
        <v>90</v>
      </c>
      <c r="L177" s="6" t="s">
        <v>334</v>
      </c>
      <c r="M177" s="7" t="s">
        <v>447</v>
      </c>
      <c r="N177" s="6" t="s">
        <v>110</v>
      </c>
      <c r="O177" s="6" t="s">
        <v>336</v>
      </c>
      <c r="P177" s="6" t="s">
        <v>328</v>
      </c>
      <c r="Q177" s="6" t="s">
        <v>274</v>
      </c>
      <c r="R177" s="6" t="s">
        <v>274</v>
      </c>
      <c r="S177" s="6" t="s">
        <v>337</v>
      </c>
      <c r="T177" s="6" t="s">
        <v>279</v>
      </c>
      <c r="U177" s="6" t="s">
        <v>330</v>
      </c>
      <c r="V177" s="6" t="s">
        <v>277</v>
      </c>
    </row>
    <row r="178" customFormat="false" ht="33.75" hidden="false" customHeight="true" outlineLevel="0" collapsed="false">
      <c r="A178" s="6" t="n">
        <v>1177</v>
      </c>
      <c r="B178" s="6" t="s">
        <v>238</v>
      </c>
      <c r="C178" s="6" t="n">
        <v>4</v>
      </c>
      <c r="D178" s="6" t="s">
        <v>351</v>
      </c>
      <c r="E178" s="6" t="s">
        <v>324</v>
      </c>
      <c r="F178" s="6" t="s">
        <v>352</v>
      </c>
      <c r="G178" s="6" t="s">
        <v>300</v>
      </c>
      <c r="H178" s="6" t="n">
        <v>3</v>
      </c>
      <c r="I178" s="6" t="s">
        <v>301</v>
      </c>
      <c r="J178" s="6" t="n">
        <v>9</v>
      </c>
      <c r="K178" s="6" t="n">
        <v>60</v>
      </c>
      <c r="L178" s="6" t="s">
        <v>302</v>
      </c>
      <c r="M178" s="7" t="s">
        <v>353</v>
      </c>
      <c r="N178" s="6" t="s">
        <v>110</v>
      </c>
      <c r="O178" s="6" t="s">
        <v>354</v>
      </c>
      <c r="P178" s="6" t="s">
        <v>328</v>
      </c>
      <c r="Q178" s="6" t="s">
        <v>275</v>
      </c>
      <c r="R178" s="6" t="s">
        <v>275</v>
      </c>
      <c r="S178" s="6" t="s">
        <v>355</v>
      </c>
      <c r="T178" s="6" t="s">
        <v>277</v>
      </c>
      <c r="U178" s="6" t="s">
        <v>356</v>
      </c>
      <c r="V178" s="6" t="s">
        <v>300</v>
      </c>
    </row>
    <row r="179" customFormat="false" ht="33.75" hidden="false" customHeight="true" outlineLevel="0" collapsed="false">
      <c r="A179" s="6" t="n">
        <v>1178</v>
      </c>
      <c r="B179" s="6" t="s">
        <v>238</v>
      </c>
      <c r="C179" s="6" t="n">
        <v>5</v>
      </c>
      <c r="D179" s="6" t="s">
        <v>357</v>
      </c>
      <c r="E179" s="6" t="s">
        <v>358</v>
      </c>
      <c r="F179" s="6" t="s">
        <v>359</v>
      </c>
      <c r="G179" s="6" t="s">
        <v>277</v>
      </c>
      <c r="H179" s="6" t="n">
        <v>3</v>
      </c>
      <c r="I179" s="6" t="s">
        <v>310</v>
      </c>
      <c r="J179" s="6" t="n">
        <v>9</v>
      </c>
      <c r="K179" s="6" t="n">
        <v>75</v>
      </c>
      <c r="L179" s="6" t="s">
        <v>334</v>
      </c>
      <c r="M179" s="7" t="s">
        <v>360</v>
      </c>
      <c r="N179" s="6" t="s">
        <v>110</v>
      </c>
      <c r="O179" s="6" t="s">
        <v>361</v>
      </c>
      <c r="P179" s="6" t="s">
        <v>362</v>
      </c>
      <c r="Q179" s="6" t="s">
        <v>275</v>
      </c>
      <c r="R179" s="6" t="s">
        <v>275</v>
      </c>
      <c r="S179" s="6" t="s">
        <v>363</v>
      </c>
      <c r="T179" s="6" t="s">
        <v>300</v>
      </c>
      <c r="U179" s="6" t="s">
        <v>364</v>
      </c>
      <c r="V179" s="6" t="s">
        <v>268</v>
      </c>
    </row>
    <row r="180" customFormat="false" ht="33.75" hidden="false" customHeight="true" outlineLevel="0" collapsed="false">
      <c r="A180" s="6" t="n">
        <v>1179</v>
      </c>
      <c r="B180" s="6" t="s">
        <v>238</v>
      </c>
      <c r="C180" s="6" t="n">
        <v>6</v>
      </c>
      <c r="D180" s="6" t="s">
        <v>369</v>
      </c>
      <c r="E180" s="6" t="s">
        <v>359</v>
      </c>
      <c r="F180" s="6" t="s">
        <v>466</v>
      </c>
      <c r="G180" s="6" t="s">
        <v>300</v>
      </c>
      <c r="H180" s="6" t="n">
        <v>3</v>
      </c>
      <c r="I180" s="6" t="s">
        <v>301</v>
      </c>
      <c r="J180" s="6" t="n">
        <v>9.5</v>
      </c>
      <c r="K180" s="6" t="n">
        <v>60</v>
      </c>
      <c r="L180" s="6" t="s">
        <v>302</v>
      </c>
      <c r="M180" s="7" t="s">
        <v>467</v>
      </c>
      <c r="N180" s="6" t="s">
        <v>110</v>
      </c>
      <c r="O180" s="6" t="s">
        <v>368</v>
      </c>
      <c r="P180" s="6" t="s">
        <v>362</v>
      </c>
      <c r="Q180" s="6" t="s">
        <v>275</v>
      </c>
      <c r="R180" s="6" t="s">
        <v>275</v>
      </c>
      <c r="S180" s="6" t="s">
        <v>365</v>
      </c>
      <c r="T180" s="6" t="s">
        <v>277</v>
      </c>
      <c r="U180" s="6" t="s">
        <v>370</v>
      </c>
      <c r="V180" s="6" t="s">
        <v>268</v>
      </c>
    </row>
    <row r="181" customFormat="false" ht="33.75" hidden="false" customHeight="true" outlineLevel="0" collapsed="false">
      <c r="A181" s="6" t="n">
        <v>1180</v>
      </c>
      <c r="B181" s="6" t="s">
        <v>243</v>
      </c>
      <c r="C181" s="6" t="n">
        <v>1</v>
      </c>
      <c r="D181" s="6" t="s">
        <v>391</v>
      </c>
      <c r="E181" s="6" t="s">
        <v>372</v>
      </c>
      <c r="F181" s="6" t="s">
        <v>475</v>
      </c>
      <c r="G181" s="6" t="s">
        <v>279</v>
      </c>
      <c r="H181" s="6" t="n">
        <v>4</v>
      </c>
      <c r="I181" s="6" t="s">
        <v>382</v>
      </c>
      <c r="J181" s="6" t="n">
        <v>8.5</v>
      </c>
      <c r="K181" s="6" t="n">
        <v>180</v>
      </c>
      <c r="L181" s="6" t="s">
        <v>270</v>
      </c>
      <c r="M181" s="7" t="s">
        <v>530</v>
      </c>
      <c r="N181" s="6" t="s">
        <v>110</v>
      </c>
      <c r="O181" s="6" t="s">
        <v>375</v>
      </c>
      <c r="P181" s="6" t="s">
        <v>376</v>
      </c>
      <c r="Q181" s="6" t="s">
        <v>274</v>
      </c>
      <c r="R181" s="6" t="s">
        <v>275</v>
      </c>
      <c r="S181" s="6" t="s">
        <v>371</v>
      </c>
      <c r="T181" s="6" t="s">
        <v>268</v>
      </c>
      <c r="U181" s="6" t="s">
        <v>388</v>
      </c>
      <c r="V181" s="6" t="s">
        <v>279</v>
      </c>
    </row>
    <row r="182" customFormat="false" ht="33.75" hidden="false" customHeight="true" outlineLevel="0" collapsed="false">
      <c r="A182" s="6" t="n">
        <v>1181</v>
      </c>
      <c r="B182" s="6" t="s">
        <v>243</v>
      </c>
      <c r="C182" s="6" t="n">
        <v>2</v>
      </c>
      <c r="D182" s="6" t="s">
        <v>379</v>
      </c>
      <c r="E182" s="6" t="s">
        <v>380</v>
      </c>
      <c r="F182" s="6" t="s">
        <v>381</v>
      </c>
      <c r="G182" s="6" t="s">
        <v>268</v>
      </c>
      <c r="H182" s="6" t="n">
        <v>4</v>
      </c>
      <c r="I182" s="6" t="s">
        <v>382</v>
      </c>
      <c r="J182" s="6" t="n">
        <v>8</v>
      </c>
      <c r="K182" s="6" t="n">
        <v>150</v>
      </c>
      <c r="L182" s="6" t="s">
        <v>270</v>
      </c>
      <c r="M182" s="7" t="s">
        <v>383</v>
      </c>
      <c r="N182" s="6" t="s">
        <v>110</v>
      </c>
      <c r="O182" s="6" t="s">
        <v>384</v>
      </c>
      <c r="P182" s="6" t="s">
        <v>385</v>
      </c>
      <c r="Q182" s="6" t="s">
        <v>274</v>
      </c>
      <c r="R182" s="6" t="s">
        <v>275</v>
      </c>
      <c r="S182" s="6" t="s">
        <v>386</v>
      </c>
      <c r="T182" s="6" t="s">
        <v>277</v>
      </c>
      <c r="U182" s="6" t="s">
        <v>387</v>
      </c>
      <c r="V182" s="6" t="s">
        <v>279</v>
      </c>
    </row>
    <row r="183" customFormat="false" ht="33.75" hidden="false" customHeight="true" outlineLevel="0" collapsed="false">
      <c r="A183" s="6" t="n">
        <v>1182</v>
      </c>
      <c r="B183" s="6" t="s">
        <v>243</v>
      </c>
      <c r="C183" s="6" t="n">
        <v>3</v>
      </c>
      <c r="D183" s="6" t="s">
        <v>392</v>
      </c>
      <c r="E183" s="6" t="s">
        <v>372</v>
      </c>
      <c r="F183" s="6" t="s">
        <v>389</v>
      </c>
      <c r="G183" s="6" t="s">
        <v>277</v>
      </c>
      <c r="H183" s="6" t="n">
        <v>3</v>
      </c>
      <c r="I183" s="6" t="s">
        <v>393</v>
      </c>
      <c r="J183" s="6" t="n">
        <v>8.5</v>
      </c>
      <c r="K183" s="6" t="n">
        <v>120</v>
      </c>
      <c r="L183" s="6" t="s">
        <v>334</v>
      </c>
      <c r="M183" s="7" t="s">
        <v>394</v>
      </c>
      <c r="N183" s="6" t="s">
        <v>110</v>
      </c>
      <c r="O183" s="6" t="s">
        <v>395</v>
      </c>
      <c r="P183" s="6" t="s">
        <v>376</v>
      </c>
      <c r="Q183" s="6" t="s">
        <v>274</v>
      </c>
      <c r="R183" s="6" t="s">
        <v>274</v>
      </c>
      <c r="S183" s="6" t="s">
        <v>396</v>
      </c>
      <c r="T183" s="6" t="s">
        <v>277</v>
      </c>
      <c r="U183" s="6" t="s">
        <v>397</v>
      </c>
      <c r="V183" s="6" t="s">
        <v>277</v>
      </c>
    </row>
    <row r="184" customFormat="false" ht="33.75" hidden="false" customHeight="true" outlineLevel="0" collapsed="false">
      <c r="A184" s="6" t="n">
        <v>1183</v>
      </c>
      <c r="B184" s="6" t="s">
        <v>243</v>
      </c>
      <c r="C184" s="6" t="n">
        <v>4</v>
      </c>
      <c r="D184" s="6" t="s">
        <v>402</v>
      </c>
      <c r="E184" s="6" t="s">
        <v>380</v>
      </c>
      <c r="F184" s="6" t="s">
        <v>405</v>
      </c>
      <c r="G184" s="6" t="s">
        <v>279</v>
      </c>
      <c r="H184" s="6" t="n">
        <v>3</v>
      </c>
      <c r="I184" s="6" t="s">
        <v>301</v>
      </c>
      <c r="J184" s="6" t="n">
        <v>9</v>
      </c>
      <c r="K184" s="6" t="n">
        <v>75</v>
      </c>
      <c r="L184" s="6" t="s">
        <v>270</v>
      </c>
      <c r="M184" s="7" t="s">
        <v>482</v>
      </c>
      <c r="N184" s="6" t="s">
        <v>110</v>
      </c>
      <c r="O184" s="6" t="s">
        <v>401</v>
      </c>
      <c r="P184" s="6" t="s">
        <v>385</v>
      </c>
      <c r="Q184" s="6" t="s">
        <v>275</v>
      </c>
      <c r="R184" s="6" t="s">
        <v>275</v>
      </c>
      <c r="S184" s="6" t="s">
        <v>398</v>
      </c>
      <c r="T184" s="6" t="s">
        <v>279</v>
      </c>
      <c r="U184" s="6" t="s">
        <v>403</v>
      </c>
      <c r="V184" s="6" t="s">
        <v>318</v>
      </c>
    </row>
    <row r="185" customFormat="false" ht="33.75" hidden="false" customHeight="true" outlineLevel="0" collapsed="false">
      <c r="A185" s="6" t="n">
        <v>1184</v>
      </c>
      <c r="B185" s="6" t="s">
        <v>243</v>
      </c>
      <c r="C185" s="6" t="n">
        <v>5</v>
      </c>
      <c r="D185" s="6" t="s">
        <v>483</v>
      </c>
      <c r="E185" s="6" t="s">
        <v>484</v>
      </c>
      <c r="F185" s="6" t="s">
        <v>485</v>
      </c>
      <c r="G185" s="6" t="s">
        <v>279</v>
      </c>
      <c r="H185" s="6" t="n">
        <v>3</v>
      </c>
      <c r="I185" s="6" t="s">
        <v>346</v>
      </c>
      <c r="J185" s="6" t="n">
        <v>9.5</v>
      </c>
      <c r="K185" s="6" t="n">
        <v>60</v>
      </c>
      <c r="L185" s="6" t="s">
        <v>302</v>
      </c>
      <c r="M185" s="7" t="s">
        <v>486</v>
      </c>
      <c r="N185" s="6" t="s">
        <v>110</v>
      </c>
      <c r="O185" s="6" t="s">
        <v>487</v>
      </c>
      <c r="P185" s="6" t="s">
        <v>376</v>
      </c>
      <c r="Q185" s="6" t="s">
        <v>275</v>
      </c>
      <c r="R185" s="6" t="s">
        <v>275</v>
      </c>
      <c r="S185" s="6" t="s">
        <v>488</v>
      </c>
      <c r="T185" s="6" t="s">
        <v>318</v>
      </c>
      <c r="U185" s="6" t="s">
        <v>489</v>
      </c>
      <c r="V185" s="6" t="s">
        <v>318</v>
      </c>
    </row>
    <row r="186" customFormat="false" ht="33.75" hidden="false" customHeight="true" outlineLevel="0" collapsed="false">
      <c r="A186" s="6" t="n">
        <v>1185</v>
      </c>
      <c r="B186" s="6" t="s">
        <v>243</v>
      </c>
      <c r="C186" s="6" t="n">
        <v>6</v>
      </c>
      <c r="D186" s="6" t="s">
        <v>404</v>
      </c>
      <c r="E186" s="6" t="s">
        <v>405</v>
      </c>
      <c r="F186" s="6" t="s">
        <v>406</v>
      </c>
      <c r="G186" s="6" t="s">
        <v>279</v>
      </c>
      <c r="H186" s="6" t="n">
        <v>4</v>
      </c>
      <c r="I186" s="6" t="s">
        <v>500</v>
      </c>
      <c r="J186" s="6" t="n">
        <v>9</v>
      </c>
      <c r="K186" s="6" t="n">
        <v>60</v>
      </c>
      <c r="L186" s="6" t="s">
        <v>407</v>
      </c>
      <c r="M186" s="7" t="s">
        <v>408</v>
      </c>
      <c r="N186" s="6" t="s">
        <v>110</v>
      </c>
      <c r="O186" s="6" t="s">
        <v>409</v>
      </c>
      <c r="P186" s="6" t="s">
        <v>410</v>
      </c>
      <c r="Q186" s="6" t="s">
        <v>275</v>
      </c>
      <c r="R186" s="6" t="s">
        <v>275</v>
      </c>
      <c r="S186" s="6" t="s">
        <v>411</v>
      </c>
      <c r="T186" s="6" t="s">
        <v>279</v>
      </c>
      <c r="U186" s="6" t="s">
        <v>412</v>
      </c>
      <c r="V186" s="6" t="s">
        <v>279</v>
      </c>
    </row>
    <row r="187" customFormat="false" ht="33.75" hidden="false" customHeight="true" outlineLevel="0" collapsed="false">
      <c r="A187" s="6" t="n">
        <v>1186</v>
      </c>
      <c r="B187" s="6" t="s">
        <v>243</v>
      </c>
      <c r="C187" s="6" t="n">
        <v>7</v>
      </c>
      <c r="D187" s="6" t="s">
        <v>497</v>
      </c>
      <c r="E187" s="6" t="s">
        <v>498</v>
      </c>
      <c r="F187" s="6" t="s">
        <v>499</v>
      </c>
      <c r="G187" s="6" t="s">
        <v>318</v>
      </c>
      <c r="H187" s="6" t="n">
        <v>3</v>
      </c>
      <c r="I187" s="6" t="s">
        <v>500</v>
      </c>
      <c r="J187" s="6" t="n">
        <v>9</v>
      </c>
      <c r="K187" s="6" t="n">
        <v>60</v>
      </c>
      <c r="L187" s="6" t="s">
        <v>302</v>
      </c>
      <c r="M187" s="7" t="s">
        <v>501</v>
      </c>
      <c r="N187" s="6" t="s">
        <v>110</v>
      </c>
      <c r="O187" s="6" t="s">
        <v>502</v>
      </c>
      <c r="P187" s="6" t="s">
        <v>503</v>
      </c>
      <c r="Q187" s="6" t="s">
        <v>275</v>
      </c>
      <c r="R187" s="6" t="s">
        <v>275</v>
      </c>
      <c r="S187" s="6" t="s">
        <v>504</v>
      </c>
      <c r="T187" s="6" t="s">
        <v>279</v>
      </c>
      <c r="U187" s="6" t="s">
        <v>505</v>
      </c>
      <c r="V187" s="6" t="s">
        <v>318</v>
      </c>
    </row>
    <row r="188" customFormat="false" ht="33.75" hidden="false" customHeight="true" outlineLevel="0" collapsed="false">
      <c r="A188" s="6" t="n">
        <v>1187</v>
      </c>
      <c r="B188" s="6" t="s">
        <v>246</v>
      </c>
      <c r="C188" s="6" t="n">
        <v>1</v>
      </c>
      <c r="D188" s="6" t="s">
        <v>288</v>
      </c>
      <c r="E188" s="6" t="s">
        <v>281</v>
      </c>
      <c r="F188" s="6" t="s">
        <v>282</v>
      </c>
      <c r="G188" s="6" t="s">
        <v>277</v>
      </c>
      <c r="H188" s="6" t="n">
        <v>4</v>
      </c>
      <c r="I188" s="6" t="s">
        <v>382</v>
      </c>
      <c r="J188" s="6" t="n">
        <v>8</v>
      </c>
      <c r="K188" s="6" t="n">
        <v>150</v>
      </c>
      <c r="L188" s="6" t="s">
        <v>334</v>
      </c>
      <c r="M188" s="7" t="s">
        <v>413</v>
      </c>
      <c r="N188" s="6" t="s">
        <v>110</v>
      </c>
      <c r="O188" s="6" t="s">
        <v>286</v>
      </c>
      <c r="P188" s="6" t="s">
        <v>287</v>
      </c>
      <c r="Q188" s="6" t="s">
        <v>274</v>
      </c>
      <c r="R188" s="6" t="s">
        <v>275</v>
      </c>
      <c r="S188" s="6" t="s">
        <v>280</v>
      </c>
      <c r="T188" s="6" t="s">
        <v>268</v>
      </c>
      <c r="U188" s="6" t="s">
        <v>289</v>
      </c>
      <c r="V188" s="6" t="s">
        <v>279</v>
      </c>
    </row>
    <row r="189" customFormat="false" ht="33.75" hidden="false" customHeight="true" outlineLevel="0" collapsed="false">
      <c r="A189" s="6" t="n">
        <v>1188</v>
      </c>
      <c r="B189" s="6" t="s">
        <v>246</v>
      </c>
      <c r="C189" s="6" t="n">
        <v>2</v>
      </c>
      <c r="D189" s="6" t="s">
        <v>441</v>
      </c>
      <c r="E189" s="6" t="s">
        <v>324</v>
      </c>
      <c r="F189" s="6" t="s">
        <v>332</v>
      </c>
      <c r="G189" s="6" t="s">
        <v>279</v>
      </c>
      <c r="H189" s="6" t="n">
        <v>4</v>
      </c>
      <c r="I189" s="6" t="s">
        <v>310</v>
      </c>
      <c r="J189" s="6" t="n">
        <v>8.5</v>
      </c>
      <c r="K189" s="6" t="n">
        <v>120</v>
      </c>
      <c r="L189" s="6" t="s">
        <v>334</v>
      </c>
      <c r="M189" s="7" t="s">
        <v>556</v>
      </c>
      <c r="N189" s="6" t="s">
        <v>110</v>
      </c>
      <c r="O189" s="6" t="s">
        <v>336</v>
      </c>
      <c r="P189" s="6" t="s">
        <v>328</v>
      </c>
      <c r="Q189" s="6" t="s">
        <v>274</v>
      </c>
      <c r="R189" s="6" t="s">
        <v>275</v>
      </c>
      <c r="S189" s="6" t="s">
        <v>331</v>
      </c>
      <c r="T189" s="6" t="s">
        <v>318</v>
      </c>
      <c r="U189" s="6" t="s">
        <v>338</v>
      </c>
      <c r="V189" s="6" t="s">
        <v>279</v>
      </c>
    </row>
    <row r="190" customFormat="false" ht="33.75" hidden="false" customHeight="true" outlineLevel="0" collapsed="false">
      <c r="A190" s="6" t="n">
        <v>1189</v>
      </c>
      <c r="B190" s="6" t="s">
        <v>246</v>
      </c>
      <c r="C190" s="6" t="n">
        <v>3</v>
      </c>
      <c r="D190" s="6" t="s">
        <v>297</v>
      </c>
      <c r="E190" s="6" t="s">
        <v>298</v>
      </c>
      <c r="F190" s="6" t="s">
        <v>299</v>
      </c>
      <c r="G190" s="6" t="s">
        <v>300</v>
      </c>
      <c r="H190" s="6" t="n">
        <v>4</v>
      </c>
      <c r="I190" s="6" t="s">
        <v>432</v>
      </c>
      <c r="J190" s="6" t="n">
        <v>9.5</v>
      </c>
      <c r="K190" s="6" t="n">
        <v>60</v>
      </c>
      <c r="L190" s="6" t="s">
        <v>302</v>
      </c>
      <c r="M190" s="7" t="s">
        <v>303</v>
      </c>
      <c r="N190" s="6" t="s">
        <v>110</v>
      </c>
      <c r="O190" s="6" t="s">
        <v>304</v>
      </c>
      <c r="P190" s="6" t="s">
        <v>287</v>
      </c>
      <c r="Q190" s="6" t="s">
        <v>275</v>
      </c>
      <c r="R190" s="6" t="s">
        <v>274</v>
      </c>
      <c r="S190" s="6" t="s">
        <v>305</v>
      </c>
      <c r="T190" s="6" t="s">
        <v>277</v>
      </c>
      <c r="U190" s="6" t="s">
        <v>306</v>
      </c>
      <c r="V190" s="6" t="s">
        <v>279</v>
      </c>
    </row>
    <row r="191" customFormat="false" ht="33.75" hidden="false" customHeight="true" outlineLevel="0" collapsed="false">
      <c r="A191" s="6" t="n">
        <v>1190</v>
      </c>
      <c r="B191" s="6" t="s">
        <v>246</v>
      </c>
      <c r="C191" s="6" t="n">
        <v>4</v>
      </c>
      <c r="D191" s="6" t="s">
        <v>349</v>
      </c>
      <c r="E191" s="6" t="s">
        <v>344</v>
      </c>
      <c r="F191" s="6" t="s">
        <v>448</v>
      </c>
      <c r="G191" s="6" t="s">
        <v>279</v>
      </c>
      <c r="H191" s="6" t="n">
        <v>4</v>
      </c>
      <c r="I191" s="6" t="s">
        <v>346</v>
      </c>
      <c r="J191" s="6" t="n">
        <v>9</v>
      </c>
      <c r="K191" s="6" t="n">
        <v>60</v>
      </c>
      <c r="L191" s="6" t="s">
        <v>302</v>
      </c>
      <c r="M191" s="7" t="s">
        <v>449</v>
      </c>
      <c r="N191" s="6" t="s">
        <v>110</v>
      </c>
      <c r="O191" s="6" t="s">
        <v>348</v>
      </c>
      <c r="P191" s="6" t="s">
        <v>287</v>
      </c>
      <c r="Q191" s="6" t="s">
        <v>275</v>
      </c>
      <c r="R191" s="6" t="s">
        <v>275</v>
      </c>
      <c r="S191" s="6" t="s">
        <v>450</v>
      </c>
      <c r="T191" s="6" t="s">
        <v>277</v>
      </c>
      <c r="U191" s="6" t="s">
        <v>451</v>
      </c>
      <c r="V191" s="6" t="s">
        <v>300</v>
      </c>
    </row>
    <row r="192" customFormat="false" ht="33.75" hidden="false" customHeight="true" outlineLevel="0" collapsed="false">
      <c r="A192" s="6" t="n">
        <v>1191</v>
      </c>
      <c r="B192" s="6" t="s">
        <v>246</v>
      </c>
      <c r="C192" s="6" t="n">
        <v>5</v>
      </c>
      <c r="D192" s="6" t="s">
        <v>343</v>
      </c>
      <c r="E192" s="6" t="s">
        <v>344</v>
      </c>
      <c r="F192" s="6" t="s">
        <v>345</v>
      </c>
      <c r="G192" s="6" t="s">
        <v>300</v>
      </c>
      <c r="H192" s="6" t="n">
        <v>3</v>
      </c>
      <c r="I192" s="6" t="s">
        <v>346</v>
      </c>
      <c r="J192" s="6" t="n">
        <v>9</v>
      </c>
      <c r="K192" s="6" t="n">
        <v>60</v>
      </c>
      <c r="L192" s="6" t="s">
        <v>302</v>
      </c>
      <c r="M192" s="7" t="s">
        <v>347</v>
      </c>
      <c r="N192" s="6" t="s">
        <v>110</v>
      </c>
      <c r="O192" s="6" t="s">
        <v>348</v>
      </c>
      <c r="P192" s="6" t="s">
        <v>287</v>
      </c>
      <c r="Q192" s="6" t="s">
        <v>275</v>
      </c>
      <c r="R192" s="6" t="s">
        <v>275</v>
      </c>
      <c r="S192" s="6" t="s">
        <v>349</v>
      </c>
      <c r="T192" s="6" t="s">
        <v>279</v>
      </c>
      <c r="U192" s="6" t="s">
        <v>350</v>
      </c>
      <c r="V192" s="6" t="s">
        <v>318</v>
      </c>
    </row>
    <row r="193" customFormat="false" ht="33.75" hidden="false" customHeight="true" outlineLevel="0" collapsed="false">
      <c r="A193" s="6" t="n">
        <v>1192</v>
      </c>
      <c r="B193" s="6" t="s">
        <v>246</v>
      </c>
      <c r="C193" s="6" t="n">
        <v>6</v>
      </c>
      <c r="D193" s="6" t="s">
        <v>452</v>
      </c>
      <c r="E193" s="6" t="s">
        <v>453</v>
      </c>
      <c r="F193" s="6" t="s">
        <v>454</v>
      </c>
      <c r="G193" s="6" t="s">
        <v>268</v>
      </c>
      <c r="H193" s="6" t="n">
        <v>3</v>
      </c>
      <c r="I193" s="6" t="s">
        <v>500</v>
      </c>
      <c r="J193" s="6" t="n">
        <v>9</v>
      </c>
      <c r="K193" s="6" t="n">
        <v>75</v>
      </c>
      <c r="L193" s="6" t="s">
        <v>455</v>
      </c>
      <c r="M193" s="7" t="s">
        <v>456</v>
      </c>
      <c r="N193" s="6" t="s">
        <v>110</v>
      </c>
      <c r="O193" s="6" t="s">
        <v>457</v>
      </c>
      <c r="P193" s="6" t="s">
        <v>458</v>
      </c>
      <c r="Q193" s="6" t="s">
        <v>275</v>
      </c>
      <c r="R193" s="6" t="s">
        <v>275</v>
      </c>
      <c r="S193" s="6" t="s">
        <v>459</v>
      </c>
      <c r="T193" s="6" t="s">
        <v>277</v>
      </c>
      <c r="U193" s="6" t="s">
        <v>460</v>
      </c>
      <c r="V193" s="6" t="s">
        <v>300</v>
      </c>
    </row>
    <row r="194" customFormat="false" ht="33.75" hidden="false" customHeight="true" outlineLevel="0" collapsed="false">
      <c r="A194" s="6" t="n">
        <v>1193</v>
      </c>
      <c r="B194" s="6" t="s">
        <v>246</v>
      </c>
      <c r="C194" s="6" t="n">
        <v>7</v>
      </c>
      <c r="D194" s="6" t="s">
        <v>306</v>
      </c>
      <c r="E194" s="6" t="s">
        <v>298</v>
      </c>
      <c r="F194" s="6" t="s">
        <v>299</v>
      </c>
      <c r="G194" s="6" t="s">
        <v>279</v>
      </c>
      <c r="H194" s="6" t="n">
        <v>2</v>
      </c>
      <c r="I194" s="6" t="s">
        <v>301</v>
      </c>
      <c r="J194" s="6" t="n">
        <v>10</v>
      </c>
      <c r="K194" s="6" t="n">
        <v>60</v>
      </c>
      <c r="L194" s="6" t="s">
        <v>284</v>
      </c>
      <c r="M194" s="7" t="s">
        <v>557</v>
      </c>
      <c r="N194" s="6" t="s">
        <v>110</v>
      </c>
      <c r="O194" s="6" t="s">
        <v>304</v>
      </c>
      <c r="P194" s="6" t="s">
        <v>287</v>
      </c>
      <c r="Q194" s="6" t="s">
        <v>275</v>
      </c>
      <c r="R194" s="6" t="s">
        <v>275</v>
      </c>
      <c r="S194" s="6" t="s">
        <v>297</v>
      </c>
      <c r="T194" s="6" t="s">
        <v>300</v>
      </c>
      <c r="U194" s="6" t="s">
        <v>305</v>
      </c>
      <c r="V194" s="6" t="s">
        <v>277</v>
      </c>
    </row>
  </sheetData>
  <autoFilter ref="A1:V194"/>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F766E"/>
    <pageSetUpPr fitToPage="false"/>
  </sheetPr>
  <dimension ref="A1:O5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2" min="2" style="0" width="38"/>
    <col collapsed="false" customWidth="true" hidden="false" outlineLevel="0" max="3" min="3" style="0" width="15"/>
    <col collapsed="false" customWidth="true" hidden="false" outlineLevel="0" max="4" min="4" style="0" width="26"/>
    <col collapsed="false" customWidth="true" hidden="false" outlineLevel="0" max="5" min="5" style="0" width="30"/>
    <col collapsed="false" customWidth="true" hidden="false" outlineLevel="0" max="6" min="6" style="0" width="40"/>
    <col collapsed="false" customWidth="true" hidden="false" outlineLevel="0" max="7" min="7" style="0" width="13"/>
    <col collapsed="false" customWidth="true" hidden="false" outlineLevel="0" max="8" min="8" style="0" width="14"/>
    <col collapsed="false" customWidth="true" hidden="false" outlineLevel="0" max="9" min="9" style="0" width="16"/>
    <col collapsed="false" customWidth="true" hidden="false" outlineLevel="0" max="10" min="10" style="0" width="82"/>
    <col collapsed="false" customWidth="true" hidden="false" outlineLevel="0" max="11" min="11" style="0" width="34"/>
    <col collapsed="false" customWidth="true" hidden="false" outlineLevel="0" max="12" min="12" style="0" width="23"/>
    <col collapsed="false" customWidth="true" hidden="false" outlineLevel="0" max="13" min="13" style="0" width="34"/>
    <col collapsed="false" customWidth="true" hidden="false" outlineLevel="0" max="14" min="14" style="0" width="23"/>
    <col collapsed="false" customWidth="true" hidden="false" outlineLevel="0" max="15" min="15" style="0" width="17"/>
  </cols>
  <sheetData>
    <row r="1" customFormat="false" ht="25.5" hidden="false" customHeight="true" outlineLevel="0" collapsed="false">
      <c r="A1" s="5" t="s">
        <v>558</v>
      </c>
      <c r="B1" s="5" t="s">
        <v>253</v>
      </c>
      <c r="C1" s="5" t="s">
        <v>42</v>
      </c>
      <c r="D1" s="5" t="s">
        <v>258</v>
      </c>
      <c r="E1" s="5" t="s">
        <v>254</v>
      </c>
      <c r="F1" s="5" t="s">
        <v>255</v>
      </c>
      <c r="G1" s="5" t="s">
        <v>256</v>
      </c>
      <c r="H1" s="5" t="s">
        <v>259</v>
      </c>
      <c r="I1" s="5" t="s">
        <v>260</v>
      </c>
      <c r="J1" s="5" t="s">
        <v>257</v>
      </c>
      <c r="K1" s="5" t="s">
        <v>261</v>
      </c>
      <c r="L1" s="5" t="s">
        <v>262</v>
      </c>
      <c r="M1" s="5" t="s">
        <v>263</v>
      </c>
      <c r="N1" s="5" t="s">
        <v>264</v>
      </c>
      <c r="O1" s="5" t="s">
        <v>559</v>
      </c>
    </row>
    <row r="2" customFormat="false" ht="33.75" hidden="false" customHeight="true" outlineLevel="0" collapsed="false">
      <c r="A2" s="6" t="s">
        <v>560</v>
      </c>
      <c r="B2" s="6" t="s">
        <v>323</v>
      </c>
      <c r="C2" s="6" t="s">
        <v>328</v>
      </c>
      <c r="D2" s="6" t="s">
        <v>327</v>
      </c>
      <c r="E2" s="6" t="s">
        <v>324</v>
      </c>
      <c r="F2" s="6" t="s">
        <v>325</v>
      </c>
      <c r="G2" s="6" t="s">
        <v>268</v>
      </c>
      <c r="H2" s="6" t="s">
        <v>274</v>
      </c>
      <c r="I2" s="6" t="s">
        <v>275</v>
      </c>
      <c r="J2" s="7" t="s">
        <v>326</v>
      </c>
      <c r="K2" s="6" t="s">
        <v>329</v>
      </c>
      <c r="L2" s="6" t="s">
        <v>279</v>
      </c>
      <c r="M2" s="6" t="s">
        <v>330</v>
      </c>
      <c r="N2" s="6" t="s">
        <v>277</v>
      </c>
      <c r="O2" s="6" t="n">
        <v>4</v>
      </c>
    </row>
    <row r="3" customFormat="false" ht="33.75" hidden="false" customHeight="true" outlineLevel="0" collapsed="false">
      <c r="A3" s="6" t="s">
        <v>561</v>
      </c>
      <c r="B3" s="6" t="s">
        <v>445</v>
      </c>
      <c r="C3" s="6" t="s">
        <v>328</v>
      </c>
      <c r="D3" s="6" t="s">
        <v>327</v>
      </c>
      <c r="E3" s="6" t="s">
        <v>340</v>
      </c>
      <c r="F3" s="6" t="s">
        <v>341</v>
      </c>
      <c r="G3" s="6" t="s">
        <v>277</v>
      </c>
      <c r="H3" s="6" t="s">
        <v>274</v>
      </c>
      <c r="I3" s="6" t="s">
        <v>275</v>
      </c>
      <c r="J3" s="7" t="s">
        <v>549</v>
      </c>
      <c r="K3" s="6" t="s">
        <v>329</v>
      </c>
      <c r="L3" s="6" t="s">
        <v>279</v>
      </c>
      <c r="M3" s="6" t="s">
        <v>444</v>
      </c>
      <c r="N3" s="6" t="s">
        <v>300</v>
      </c>
      <c r="O3" s="6" t="n">
        <v>3</v>
      </c>
    </row>
    <row r="4" customFormat="false" ht="33.75" hidden="false" customHeight="true" outlineLevel="0" collapsed="false">
      <c r="A4" s="6" t="s">
        <v>562</v>
      </c>
      <c r="B4" s="6" t="s">
        <v>329</v>
      </c>
      <c r="C4" s="6" t="s">
        <v>328</v>
      </c>
      <c r="D4" s="6" t="s">
        <v>327</v>
      </c>
      <c r="E4" s="6" t="s">
        <v>340</v>
      </c>
      <c r="F4" s="6" t="s">
        <v>341</v>
      </c>
      <c r="G4" s="6" t="s">
        <v>279</v>
      </c>
      <c r="H4" s="6" t="s">
        <v>274</v>
      </c>
      <c r="I4" s="6" t="s">
        <v>275</v>
      </c>
      <c r="J4" s="7" t="s">
        <v>443</v>
      </c>
      <c r="K4" s="6" t="s">
        <v>444</v>
      </c>
      <c r="L4" s="6" t="s">
        <v>300</v>
      </c>
      <c r="M4" s="6" t="s">
        <v>445</v>
      </c>
      <c r="N4" s="6" t="s">
        <v>277</v>
      </c>
      <c r="O4" s="6" t="n">
        <v>3</v>
      </c>
    </row>
    <row r="5" customFormat="false" ht="33.75" hidden="false" customHeight="true" outlineLevel="0" collapsed="false">
      <c r="A5" s="6" t="s">
        <v>563</v>
      </c>
      <c r="B5" s="6" t="s">
        <v>355</v>
      </c>
      <c r="C5" s="6" t="s">
        <v>328</v>
      </c>
      <c r="D5" s="6" t="s">
        <v>354</v>
      </c>
      <c r="E5" s="6" t="s">
        <v>324</v>
      </c>
      <c r="F5" s="6" t="s">
        <v>509</v>
      </c>
      <c r="G5" s="6" t="s">
        <v>277</v>
      </c>
      <c r="H5" s="6" t="s">
        <v>275</v>
      </c>
      <c r="I5" s="6" t="s">
        <v>275</v>
      </c>
      <c r="J5" s="7" t="s">
        <v>510</v>
      </c>
      <c r="K5" s="6" t="s">
        <v>351</v>
      </c>
      <c r="L5" s="6" t="s">
        <v>300</v>
      </c>
      <c r="M5" s="6" t="s">
        <v>511</v>
      </c>
      <c r="N5" s="6" t="s">
        <v>279</v>
      </c>
      <c r="O5" s="6" t="n">
        <v>1</v>
      </c>
    </row>
    <row r="6" customFormat="false" ht="33.75" hidden="false" customHeight="true" outlineLevel="0" collapsed="false">
      <c r="A6" s="6" t="s">
        <v>564</v>
      </c>
      <c r="B6" s="6" t="s">
        <v>441</v>
      </c>
      <c r="C6" s="6" t="s">
        <v>328</v>
      </c>
      <c r="D6" s="6" t="s">
        <v>336</v>
      </c>
      <c r="E6" s="6" t="s">
        <v>324</v>
      </c>
      <c r="F6" s="6" t="s">
        <v>332</v>
      </c>
      <c r="G6" s="6" t="s">
        <v>279</v>
      </c>
      <c r="H6" s="6" t="s">
        <v>274</v>
      </c>
      <c r="I6" s="6" t="s">
        <v>275</v>
      </c>
      <c r="J6" s="7" t="s">
        <v>442</v>
      </c>
      <c r="K6" s="6" t="s">
        <v>331</v>
      </c>
      <c r="L6" s="6" t="s">
        <v>318</v>
      </c>
      <c r="M6" s="6" t="s">
        <v>338</v>
      </c>
      <c r="N6" s="6" t="s">
        <v>279</v>
      </c>
      <c r="O6" s="6" t="n">
        <v>6</v>
      </c>
    </row>
    <row r="7" customFormat="false" ht="33.75" hidden="false" customHeight="true" outlineLevel="0" collapsed="false">
      <c r="A7" s="6" t="s">
        <v>565</v>
      </c>
      <c r="B7" s="6" t="s">
        <v>339</v>
      </c>
      <c r="C7" s="6" t="s">
        <v>328</v>
      </c>
      <c r="D7" s="6" t="s">
        <v>327</v>
      </c>
      <c r="E7" s="6" t="s">
        <v>340</v>
      </c>
      <c r="F7" s="6" t="s">
        <v>341</v>
      </c>
      <c r="G7" s="6" t="s">
        <v>300</v>
      </c>
      <c r="H7" s="6" t="s">
        <v>274</v>
      </c>
      <c r="I7" s="6" t="s">
        <v>275</v>
      </c>
      <c r="J7" s="7" t="s">
        <v>342</v>
      </c>
      <c r="K7" s="6" t="s">
        <v>329</v>
      </c>
      <c r="L7" s="6" t="s">
        <v>279</v>
      </c>
      <c r="M7" s="6" t="s">
        <v>330</v>
      </c>
      <c r="N7" s="6" t="s">
        <v>277</v>
      </c>
      <c r="O7" s="6" t="n">
        <v>4</v>
      </c>
    </row>
    <row r="8" customFormat="false" ht="33.75" hidden="false" customHeight="true" outlineLevel="0" collapsed="false">
      <c r="A8" s="6" t="s">
        <v>566</v>
      </c>
      <c r="B8" s="6" t="s">
        <v>446</v>
      </c>
      <c r="C8" s="6" t="s">
        <v>328</v>
      </c>
      <c r="D8" s="6" t="s">
        <v>336</v>
      </c>
      <c r="E8" s="6" t="s">
        <v>324</v>
      </c>
      <c r="F8" s="6" t="s">
        <v>332</v>
      </c>
      <c r="G8" s="6" t="s">
        <v>300</v>
      </c>
      <c r="H8" s="6" t="s">
        <v>274</v>
      </c>
      <c r="I8" s="6" t="s">
        <v>274</v>
      </c>
      <c r="J8" s="7" t="s">
        <v>447</v>
      </c>
      <c r="K8" s="6" t="s">
        <v>337</v>
      </c>
      <c r="L8" s="6" t="s">
        <v>279</v>
      </c>
      <c r="M8" s="6" t="s">
        <v>330</v>
      </c>
      <c r="N8" s="6" t="s">
        <v>277</v>
      </c>
      <c r="O8" s="6" t="n">
        <v>2</v>
      </c>
    </row>
    <row r="9" customFormat="false" ht="33.75" hidden="false" customHeight="true" outlineLevel="0" collapsed="false">
      <c r="A9" s="6" t="s">
        <v>567</v>
      </c>
      <c r="B9" s="6" t="s">
        <v>351</v>
      </c>
      <c r="C9" s="6" t="s">
        <v>328</v>
      </c>
      <c r="D9" s="6" t="s">
        <v>354</v>
      </c>
      <c r="E9" s="6" t="s">
        <v>324</v>
      </c>
      <c r="F9" s="6" t="s">
        <v>352</v>
      </c>
      <c r="G9" s="6" t="s">
        <v>300</v>
      </c>
      <c r="H9" s="6" t="s">
        <v>275</v>
      </c>
      <c r="I9" s="6" t="s">
        <v>275</v>
      </c>
      <c r="J9" s="7" t="s">
        <v>353</v>
      </c>
      <c r="K9" s="6" t="s">
        <v>355</v>
      </c>
      <c r="L9" s="6" t="s">
        <v>277</v>
      </c>
      <c r="M9" s="6" t="s">
        <v>356</v>
      </c>
      <c r="N9" s="6" t="s">
        <v>300</v>
      </c>
      <c r="O9" s="6" t="n">
        <v>3</v>
      </c>
    </row>
    <row r="10" customFormat="false" ht="33.75" hidden="false" customHeight="true" outlineLevel="0" collapsed="false">
      <c r="A10" s="6" t="s">
        <v>568</v>
      </c>
      <c r="B10" s="6" t="s">
        <v>331</v>
      </c>
      <c r="C10" s="6" t="s">
        <v>328</v>
      </c>
      <c r="D10" s="6" t="s">
        <v>336</v>
      </c>
      <c r="E10" s="6" t="s">
        <v>324</v>
      </c>
      <c r="F10" s="6" t="s">
        <v>332</v>
      </c>
      <c r="G10" s="6" t="s">
        <v>318</v>
      </c>
      <c r="H10" s="6" t="s">
        <v>274</v>
      </c>
      <c r="I10" s="6" t="s">
        <v>275</v>
      </c>
      <c r="J10" s="7" t="s">
        <v>335</v>
      </c>
      <c r="K10" s="6" t="s">
        <v>337</v>
      </c>
      <c r="L10" s="6" t="s">
        <v>279</v>
      </c>
      <c r="M10" s="6" t="s">
        <v>338</v>
      </c>
      <c r="N10" s="6" t="s">
        <v>279</v>
      </c>
      <c r="O10" s="6" t="n">
        <v>6</v>
      </c>
    </row>
    <row r="11" customFormat="false" ht="33.75" hidden="false" customHeight="true" outlineLevel="0" collapsed="false">
      <c r="A11" s="6" t="s">
        <v>569</v>
      </c>
      <c r="B11" s="6" t="s">
        <v>516</v>
      </c>
      <c r="C11" s="6" t="s">
        <v>362</v>
      </c>
      <c r="D11" s="6" t="s">
        <v>520</v>
      </c>
      <c r="E11" s="6" t="s">
        <v>517</v>
      </c>
      <c r="F11" s="6" t="s">
        <v>518</v>
      </c>
      <c r="G11" s="6" t="s">
        <v>268</v>
      </c>
      <c r="H11" s="6" t="s">
        <v>275</v>
      </c>
      <c r="I11" s="6" t="s">
        <v>275</v>
      </c>
      <c r="J11" s="7" t="s">
        <v>519</v>
      </c>
      <c r="K11" s="6" t="s">
        <v>521</v>
      </c>
      <c r="L11" s="6" t="s">
        <v>268</v>
      </c>
      <c r="M11" s="6" t="s">
        <v>522</v>
      </c>
      <c r="N11" s="6" t="s">
        <v>300</v>
      </c>
      <c r="O11" s="6" t="n">
        <v>2</v>
      </c>
    </row>
    <row r="12" customFormat="false" ht="33.75" hidden="false" customHeight="true" outlineLevel="0" collapsed="false">
      <c r="A12" s="6" t="s">
        <v>570</v>
      </c>
      <c r="B12" s="6" t="s">
        <v>522</v>
      </c>
      <c r="C12" s="6" t="s">
        <v>362</v>
      </c>
      <c r="D12" s="6" t="s">
        <v>520</v>
      </c>
      <c r="E12" s="6" t="s">
        <v>517</v>
      </c>
      <c r="F12" s="6" t="s">
        <v>359</v>
      </c>
      <c r="G12" s="6" t="s">
        <v>300</v>
      </c>
      <c r="H12" s="6" t="s">
        <v>275</v>
      </c>
      <c r="I12" s="6" t="s">
        <v>275</v>
      </c>
      <c r="J12" s="7" t="s">
        <v>541</v>
      </c>
      <c r="K12" s="6" t="s">
        <v>516</v>
      </c>
      <c r="L12" s="6" t="s">
        <v>268</v>
      </c>
      <c r="M12" s="6" t="s">
        <v>542</v>
      </c>
      <c r="N12" s="6" t="s">
        <v>277</v>
      </c>
      <c r="O12" s="6" t="n">
        <v>1</v>
      </c>
    </row>
    <row r="13" customFormat="false" ht="33.75" hidden="false" customHeight="true" outlineLevel="0" collapsed="false">
      <c r="A13" s="6" t="s">
        <v>571</v>
      </c>
      <c r="B13" s="6" t="s">
        <v>369</v>
      </c>
      <c r="C13" s="6" t="s">
        <v>362</v>
      </c>
      <c r="D13" s="6" t="s">
        <v>368</v>
      </c>
      <c r="E13" s="6" t="s">
        <v>359</v>
      </c>
      <c r="F13" s="6" t="s">
        <v>466</v>
      </c>
      <c r="G13" s="6" t="s">
        <v>300</v>
      </c>
      <c r="H13" s="6" t="s">
        <v>275</v>
      </c>
      <c r="I13" s="6" t="s">
        <v>275</v>
      </c>
      <c r="J13" s="7" t="s">
        <v>467</v>
      </c>
      <c r="K13" s="6" t="s">
        <v>365</v>
      </c>
      <c r="L13" s="6" t="s">
        <v>277</v>
      </c>
      <c r="M13" s="6" t="s">
        <v>370</v>
      </c>
      <c r="N13" s="6" t="s">
        <v>268</v>
      </c>
      <c r="O13" s="6" t="n">
        <v>3</v>
      </c>
    </row>
    <row r="14" customFormat="false" ht="33.75" hidden="false" customHeight="true" outlineLevel="0" collapsed="false">
      <c r="A14" s="6" t="s">
        <v>572</v>
      </c>
      <c r="B14" s="6" t="s">
        <v>365</v>
      </c>
      <c r="C14" s="6" t="s">
        <v>362</v>
      </c>
      <c r="D14" s="6" t="s">
        <v>368</v>
      </c>
      <c r="E14" s="6" t="s">
        <v>359</v>
      </c>
      <c r="F14" s="6" t="s">
        <v>366</v>
      </c>
      <c r="G14" s="6" t="s">
        <v>277</v>
      </c>
      <c r="H14" s="6" t="s">
        <v>275</v>
      </c>
      <c r="I14" s="6" t="s">
        <v>275</v>
      </c>
      <c r="J14" s="7" t="s">
        <v>367</v>
      </c>
      <c r="K14" s="6" t="s">
        <v>369</v>
      </c>
      <c r="L14" s="6" t="s">
        <v>300</v>
      </c>
      <c r="M14" s="6" t="s">
        <v>370</v>
      </c>
      <c r="N14" s="6" t="s">
        <v>268</v>
      </c>
      <c r="O14" s="6" t="n">
        <v>2</v>
      </c>
    </row>
    <row r="15" customFormat="false" ht="33.75" hidden="false" customHeight="true" outlineLevel="0" collapsed="false">
      <c r="A15" s="6" t="s">
        <v>573</v>
      </c>
      <c r="B15" s="6" t="s">
        <v>364</v>
      </c>
      <c r="C15" s="6" t="s">
        <v>362</v>
      </c>
      <c r="D15" s="6" t="s">
        <v>463</v>
      </c>
      <c r="E15" s="6" t="s">
        <v>461</v>
      </c>
      <c r="F15" s="6" t="s">
        <v>359</v>
      </c>
      <c r="G15" s="6" t="s">
        <v>268</v>
      </c>
      <c r="H15" s="6" t="s">
        <v>275</v>
      </c>
      <c r="I15" s="6" t="s">
        <v>275</v>
      </c>
      <c r="J15" s="7" t="s">
        <v>462</v>
      </c>
      <c r="K15" s="6" t="s">
        <v>464</v>
      </c>
      <c r="L15" s="6" t="s">
        <v>279</v>
      </c>
      <c r="M15" s="6" t="s">
        <v>465</v>
      </c>
      <c r="N15" s="6" t="s">
        <v>277</v>
      </c>
      <c r="O15" s="6" t="n">
        <v>2</v>
      </c>
    </row>
    <row r="16" customFormat="false" ht="33.75" hidden="false" customHeight="true" outlineLevel="0" collapsed="false">
      <c r="A16" s="6" t="s">
        <v>574</v>
      </c>
      <c r="B16" s="6" t="s">
        <v>357</v>
      </c>
      <c r="C16" s="6" t="s">
        <v>362</v>
      </c>
      <c r="D16" s="6" t="s">
        <v>361</v>
      </c>
      <c r="E16" s="6" t="s">
        <v>358</v>
      </c>
      <c r="F16" s="6" t="s">
        <v>359</v>
      </c>
      <c r="G16" s="6" t="s">
        <v>277</v>
      </c>
      <c r="H16" s="6" t="s">
        <v>275</v>
      </c>
      <c r="I16" s="6" t="s">
        <v>275</v>
      </c>
      <c r="J16" s="7" t="s">
        <v>360</v>
      </c>
      <c r="K16" s="6" t="s">
        <v>363</v>
      </c>
      <c r="L16" s="6" t="s">
        <v>300</v>
      </c>
      <c r="M16" s="6" t="s">
        <v>364</v>
      </c>
      <c r="N16" s="6" t="s">
        <v>268</v>
      </c>
      <c r="O16" s="6" t="n">
        <v>7</v>
      </c>
    </row>
    <row r="17" customFormat="false" ht="33.75" hidden="false" customHeight="true" outlineLevel="0" collapsed="false">
      <c r="A17" s="6" t="s">
        <v>575</v>
      </c>
      <c r="B17" s="6" t="s">
        <v>493</v>
      </c>
      <c r="C17" s="6" t="s">
        <v>410</v>
      </c>
      <c r="D17" s="6" t="s">
        <v>409</v>
      </c>
      <c r="E17" s="6" t="s">
        <v>406</v>
      </c>
      <c r="F17" s="6" t="s">
        <v>405</v>
      </c>
      <c r="G17" s="6" t="s">
        <v>279</v>
      </c>
      <c r="H17" s="6" t="s">
        <v>275</v>
      </c>
      <c r="I17" s="6" t="s">
        <v>275</v>
      </c>
      <c r="J17" s="7" t="s">
        <v>494</v>
      </c>
      <c r="K17" s="6" t="s">
        <v>495</v>
      </c>
      <c r="L17" s="6" t="s">
        <v>279</v>
      </c>
      <c r="M17" s="6" t="s">
        <v>496</v>
      </c>
      <c r="N17" s="6" t="s">
        <v>279</v>
      </c>
      <c r="O17" s="6" t="n">
        <v>3</v>
      </c>
    </row>
    <row r="18" customFormat="false" ht="33.75" hidden="false" customHeight="true" outlineLevel="0" collapsed="false">
      <c r="A18" s="6" t="s">
        <v>576</v>
      </c>
      <c r="B18" s="6" t="s">
        <v>404</v>
      </c>
      <c r="C18" s="6" t="s">
        <v>410</v>
      </c>
      <c r="D18" s="6" t="s">
        <v>409</v>
      </c>
      <c r="E18" s="6" t="s">
        <v>405</v>
      </c>
      <c r="F18" s="6" t="s">
        <v>406</v>
      </c>
      <c r="G18" s="6" t="s">
        <v>279</v>
      </c>
      <c r="H18" s="6" t="s">
        <v>275</v>
      </c>
      <c r="I18" s="6" t="s">
        <v>275</v>
      </c>
      <c r="J18" s="7" t="s">
        <v>408</v>
      </c>
      <c r="K18" s="6" t="s">
        <v>411</v>
      </c>
      <c r="L18" s="6" t="s">
        <v>279</v>
      </c>
      <c r="M18" s="6" t="s">
        <v>412</v>
      </c>
      <c r="N18" s="6" t="s">
        <v>279</v>
      </c>
      <c r="O18" s="6" t="n">
        <v>6</v>
      </c>
    </row>
    <row r="19" customFormat="false" ht="33.75" hidden="false" customHeight="true" outlineLevel="0" collapsed="false">
      <c r="A19" s="6" t="s">
        <v>577</v>
      </c>
      <c r="B19" s="6" t="s">
        <v>265</v>
      </c>
      <c r="C19" s="6" t="s">
        <v>273</v>
      </c>
      <c r="D19" s="6" t="s">
        <v>272</v>
      </c>
      <c r="E19" s="6" t="s">
        <v>266</v>
      </c>
      <c r="F19" s="6" t="s">
        <v>267</v>
      </c>
      <c r="G19" s="6" t="s">
        <v>268</v>
      </c>
      <c r="H19" s="6" t="s">
        <v>274</v>
      </c>
      <c r="I19" s="6" t="s">
        <v>275</v>
      </c>
      <c r="J19" s="7" t="s">
        <v>271</v>
      </c>
      <c r="K19" s="6" t="s">
        <v>276</v>
      </c>
      <c r="L19" s="6" t="s">
        <v>277</v>
      </c>
      <c r="M19" s="6" t="s">
        <v>278</v>
      </c>
      <c r="N19" s="6" t="s">
        <v>279</v>
      </c>
      <c r="O19" s="6" t="n">
        <v>6</v>
      </c>
    </row>
    <row r="20" customFormat="false" ht="33.75" hidden="false" customHeight="true" outlineLevel="0" collapsed="false">
      <c r="A20" s="6" t="s">
        <v>578</v>
      </c>
      <c r="B20" s="6" t="s">
        <v>414</v>
      </c>
      <c r="C20" s="6" t="s">
        <v>273</v>
      </c>
      <c r="D20" s="6" t="s">
        <v>294</v>
      </c>
      <c r="E20" s="6" t="s">
        <v>291</v>
      </c>
      <c r="F20" s="6" t="s">
        <v>267</v>
      </c>
      <c r="G20" s="6" t="s">
        <v>268</v>
      </c>
      <c r="H20" s="6" t="s">
        <v>274</v>
      </c>
      <c r="I20" s="6" t="s">
        <v>275</v>
      </c>
      <c r="J20" s="7" t="s">
        <v>415</v>
      </c>
      <c r="K20" s="6" t="s">
        <v>290</v>
      </c>
      <c r="L20" s="6" t="s">
        <v>277</v>
      </c>
      <c r="M20" s="6" t="s">
        <v>416</v>
      </c>
      <c r="N20" s="6" t="s">
        <v>279</v>
      </c>
      <c r="O20" s="6" t="n">
        <v>4</v>
      </c>
    </row>
    <row r="21" customFormat="false" ht="33.75" hidden="false" customHeight="true" outlineLevel="0" collapsed="false">
      <c r="A21" s="6" t="s">
        <v>579</v>
      </c>
      <c r="B21" s="6" t="s">
        <v>507</v>
      </c>
      <c r="C21" s="6" t="s">
        <v>273</v>
      </c>
      <c r="D21" s="6" t="s">
        <v>428</v>
      </c>
      <c r="E21" s="6" t="s">
        <v>425</v>
      </c>
      <c r="F21" s="6" t="s">
        <v>281</v>
      </c>
      <c r="G21" s="6" t="s">
        <v>300</v>
      </c>
      <c r="H21" s="6" t="s">
        <v>275</v>
      </c>
      <c r="I21" s="6" t="s">
        <v>275</v>
      </c>
      <c r="J21" s="7" t="s">
        <v>508</v>
      </c>
      <c r="K21" s="6" t="s">
        <v>424</v>
      </c>
      <c r="L21" s="6" t="s">
        <v>279</v>
      </c>
      <c r="M21" s="6" t="s">
        <v>430</v>
      </c>
      <c r="N21" s="6" t="s">
        <v>277</v>
      </c>
      <c r="O21" s="6" t="n">
        <v>1</v>
      </c>
    </row>
    <row r="22" customFormat="false" ht="33.75" hidden="false" customHeight="true" outlineLevel="0" collapsed="false">
      <c r="A22" s="6" t="s">
        <v>580</v>
      </c>
      <c r="B22" s="6" t="s">
        <v>316</v>
      </c>
      <c r="C22" s="6" t="s">
        <v>273</v>
      </c>
      <c r="D22" s="6" t="s">
        <v>272</v>
      </c>
      <c r="E22" s="6" t="s">
        <v>266</v>
      </c>
      <c r="F22" s="6" t="s">
        <v>317</v>
      </c>
      <c r="G22" s="6" t="s">
        <v>318</v>
      </c>
      <c r="H22" s="6" t="s">
        <v>274</v>
      </c>
      <c r="I22" s="6" t="s">
        <v>275</v>
      </c>
      <c r="J22" s="7" t="s">
        <v>581</v>
      </c>
      <c r="K22" s="6" t="s">
        <v>322</v>
      </c>
      <c r="L22" s="6" t="s">
        <v>318</v>
      </c>
      <c r="M22" s="6" t="s">
        <v>278</v>
      </c>
      <c r="N22" s="6" t="s">
        <v>279</v>
      </c>
      <c r="O22" s="6" t="n">
        <v>1</v>
      </c>
    </row>
    <row r="23" customFormat="false" ht="33.75" hidden="false" customHeight="true" outlineLevel="0" collapsed="false">
      <c r="A23" s="6" t="s">
        <v>582</v>
      </c>
      <c r="B23" s="6" t="s">
        <v>551</v>
      </c>
      <c r="C23" s="6" t="s">
        <v>273</v>
      </c>
      <c r="D23" s="6" t="s">
        <v>272</v>
      </c>
      <c r="E23" s="6" t="s">
        <v>266</v>
      </c>
      <c r="F23" s="6" t="s">
        <v>267</v>
      </c>
      <c r="G23" s="6" t="s">
        <v>277</v>
      </c>
      <c r="H23" s="6" t="s">
        <v>274</v>
      </c>
      <c r="I23" s="6" t="s">
        <v>275</v>
      </c>
      <c r="J23" s="7" t="s">
        <v>552</v>
      </c>
      <c r="K23" s="6" t="s">
        <v>265</v>
      </c>
      <c r="L23" s="6" t="s">
        <v>268</v>
      </c>
      <c r="M23" s="6" t="s">
        <v>278</v>
      </c>
      <c r="N23" s="6" t="s">
        <v>279</v>
      </c>
      <c r="O23" s="6" t="n">
        <v>1</v>
      </c>
    </row>
    <row r="24" customFormat="false" ht="33.75" hidden="false" customHeight="true" outlineLevel="0" collapsed="false">
      <c r="A24" s="6" t="s">
        <v>583</v>
      </c>
      <c r="B24" s="6" t="s">
        <v>553</v>
      </c>
      <c r="C24" s="6" t="s">
        <v>273</v>
      </c>
      <c r="D24" s="6" t="s">
        <v>428</v>
      </c>
      <c r="E24" s="6" t="s">
        <v>418</v>
      </c>
      <c r="F24" s="6" t="s">
        <v>281</v>
      </c>
      <c r="G24" s="6" t="s">
        <v>300</v>
      </c>
      <c r="H24" s="6" t="s">
        <v>275</v>
      </c>
      <c r="I24" s="6" t="s">
        <v>275</v>
      </c>
      <c r="J24" s="7" t="s">
        <v>554</v>
      </c>
      <c r="K24" s="6" t="s">
        <v>555</v>
      </c>
      <c r="L24" s="6" t="s">
        <v>277</v>
      </c>
      <c r="M24" s="6" t="s">
        <v>424</v>
      </c>
      <c r="N24" s="6" t="s">
        <v>279</v>
      </c>
      <c r="O24" s="6" t="n">
        <v>1</v>
      </c>
    </row>
    <row r="25" customFormat="false" ht="33.75" hidden="false" customHeight="true" outlineLevel="0" collapsed="false">
      <c r="A25" s="6" t="s">
        <v>584</v>
      </c>
      <c r="B25" s="6" t="s">
        <v>290</v>
      </c>
      <c r="C25" s="6" t="s">
        <v>273</v>
      </c>
      <c r="D25" s="6" t="s">
        <v>294</v>
      </c>
      <c r="E25" s="6" t="s">
        <v>291</v>
      </c>
      <c r="F25" s="6" t="s">
        <v>267</v>
      </c>
      <c r="G25" s="6" t="s">
        <v>277</v>
      </c>
      <c r="H25" s="6" t="s">
        <v>274</v>
      </c>
      <c r="I25" s="6" t="s">
        <v>275</v>
      </c>
      <c r="J25" s="7" t="s">
        <v>293</v>
      </c>
      <c r="K25" s="6" t="s">
        <v>295</v>
      </c>
      <c r="L25" s="6" t="s">
        <v>268</v>
      </c>
      <c r="M25" s="6" t="s">
        <v>296</v>
      </c>
      <c r="N25" s="6" t="s">
        <v>279</v>
      </c>
      <c r="O25" s="6" t="n">
        <v>5</v>
      </c>
    </row>
    <row r="26" customFormat="false" ht="33.75" hidden="false" customHeight="true" outlineLevel="0" collapsed="false">
      <c r="A26" s="6" t="s">
        <v>585</v>
      </c>
      <c r="B26" s="6" t="s">
        <v>278</v>
      </c>
      <c r="C26" s="6" t="s">
        <v>273</v>
      </c>
      <c r="D26" s="6" t="s">
        <v>272</v>
      </c>
      <c r="E26" s="6" t="s">
        <v>266</v>
      </c>
      <c r="F26" s="6" t="s">
        <v>267</v>
      </c>
      <c r="G26" s="6" t="s">
        <v>279</v>
      </c>
      <c r="H26" s="6" t="s">
        <v>274</v>
      </c>
      <c r="I26" s="6" t="s">
        <v>275</v>
      </c>
      <c r="J26" s="7" t="s">
        <v>586</v>
      </c>
      <c r="K26" s="6" t="s">
        <v>276</v>
      </c>
      <c r="L26" s="6" t="s">
        <v>277</v>
      </c>
      <c r="M26" s="6" t="s">
        <v>322</v>
      </c>
      <c r="N26" s="6" t="s">
        <v>318</v>
      </c>
      <c r="O26" s="6" t="n">
        <v>0</v>
      </c>
    </row>
    <row r="27" customFormat="false" ht="33.75" hidden="false" customHeight="true" outlineLevel="0" collapsed="false">
      <c r="A27" s="6" t="s">
        <v>587</v>
      </c>
      <c r="B27" s="6" t="s">
        <v>424</v>
      </c>
      <c r="C27" s="6" t="s">
        <v>273</v>
      </c>
      <c r="D27" s="6" t="s">
        <v>428</v>
      </c>
      <c r="E27" s="6" t="s">
        <v>425</v>
      </c>
      <c r="F27" s="6" t="s">
        <v>281</v>
      </c>
      <c r="G27" s="6" t="s">
        <v>279</v>
      </c>
      <c r="H27" s="6" t="s">
        <v>275</v>
      </c>
      <c r="I27" s="6" t="s">
        <v>275</v>
      </c>
      <c r="J27" s="7" t="s">
        <v>427</v>
      </c>
      <c r="K27" s="6" t="s">
        <v>429</v>
      </c>
      <c r="L27" s="6" t="s">
        <v>300</v>
      </c>
      <c r="M27" s="6" t="s">
        <v>430</v>
      </c>
      <c r="N27" s="6" t="s">
        <v>277</v>
      </c>
      <c r="O27" s="6" t="n">
        <v>2</v>
      </c>
    </row>
    <row r="28" customFormat="false" ht="33.75" hidden="false" customHeight="true" outlineLevel="0" collapsed="false">
      <c r="A28" s="6" t="s">
        <v>588</v>
      </c>
      <c r="B28" s="6" t="s">
        <v>417</v>
      </c>
      <c r="C28" s="6" t="s">
        <v>273</v>
      </c>
      <c r="D28" s="6" t="s">
        <v>421</v>
      </c>
      <c r="E28" s="6" t="s">
        <v>418</v>
      </c>
      <c r="F28" s="6" t="s">
        <v>419</v>
      </c>
      <c r="G28" s="6" t="s">
        <v>318</v>
      </c>
      <c r="H28" s="6" t="s">
        <v>274</v>
      </c>
      <c r="I28" s="6" t="s">
        <v>275</v>
      </c>
      <c r="J28" s="7" t="s">
        <v>420</v>
      </c>
      <c r="K28" s="6" t="s">
        <v>422</v>
      </c>
      <c r="L28" s="6" t="s">
        <v>279</v>
      </c>
      <c r="M28" s="6" t="s">
        <v>423</v>
      </c>
      <c r="N28" s="6" t="s">
        <v>277</v>
      </c>
      <c r="O28" s="6" t="n">
        <v>4</v>
      </c>
    </row>
    <row r="29" customFormat="false" ht="33.75" hidden="false" customHeight="true" outlineLevel="0" collapsed="false">
      <c r="A29" s="6" t="s">
        <v>589</v>
      </c>
      <c r="B29" s="6" t="s">
        <v>524</v>
      </c>
      <c r="C29" s="6" t="s">
        <v>503</v>
      </c>
      <c r="D29" s="6" t="s">
        <v>527</v>
      </c>
      <c r="E29" s="6" t="s">
        <v>498</v>
      </c>
      <c r="F29" s="6" t="s">
        <v>525</v>
      </c>
      <c r="G29" s="6" t="s">
        <v>318</v>
      </c>
      <c r="H29" s="6" t="s">
        <v>275</v>
      </c>
      <c r="I29" s="6" t="s">
        <v>275</v>
      </c>
      <c r="J29" s="7" t="s">
        <v>526</v>
      </c>
      <c r="K29" s="6" t="s">
        <v>528</v>
      </c>
      <c r="L29" s="6" t="s">
        <v>318</v>
      </c>
      <c r="M29" s="6" t="s">
        <v>529</v>
      </c>
      <c r="N29" s="6" t="s">
        <v>300</v>
      </c>
      <c r="O29" s="6" t="n">
        <v>1</v>
      </c>
    </row>
    <row r="30" customFormat="false" ht="33.75" hidden="false" customHeight="true" outlineLevel="0" collapsed="false">
      <c r="A30" s="6" t="s">
        <v>590</v>
      </c>
      <c r="B30" s="6" t="s">
        <v>497</v>
      </c>
      <c r="C30" s="6" t="s">
        <v>503</v>
      </c>
      <c r="D30" s="6" t="s">
        <v>502</v>
      </c>
      <c r="E30" s="6" t="s">
        <v>498</v>
      </c>
      <c r="F30" s="6" t="s">
        <v>499</v>
      </c>
      <c r="G30" s="6" t="s">
        <v>318</v>
      </c>
      <c r="H30" s="6" t="s">
        <v>275</v>
      </c>
      <c r="I30" s="6" t="s">
        <v>275</v>
      </c>
      <c r="J30" s="7" t="s">
        <v>501</v>
      </c>
      <c r="K30" s="6" t="s">
        <v>504</v>
      </c>
      <c r="L30" s="6" t="s">
        <v>279</v>
      </c>
      <c r="M30" s="6" t="s">
        <v>505</v>
      </c>
      <c r="N30" s="6" t="s">
        <v>318</v>
      </c>
      <c r="O30" s="6" t="n">
        <v>7</v>
      </c>
    </row>
    <row r="31" customFormat="false" ht="33.75" hidden="false" customHeight="true" outlineLevel="0" collapsed="false">
      <c r="A31" s="6" t="s">
        <v>591</v>
      </c>
      <c r="B31" s="6" t="s">
        <v>528</v>
      </c>
      <c r="C31" s="6" t="s">
        <v>503</v>
      </c>
      <c r="D31" s="6" t="s">
        <v>527</v>
      </c>
      <c r="E31" s="6" t="s">
        <v>498</v>
      </c>
      <c r="F31" s="6" t="s">
        <v>543</v>
      </c>
      <c r="G31" s="6" t="s">
        <v>318</v>
      </c>
      <c r="H31" s="6" t="s">
        <v>275</v>
      </c>
      <c r="I31" s="6" t="s">
        <v>275</v>
      </c>
      <c r="J31" s="7" t="s">
        <v>546</v>
      </c>
      <c r="K31" s="6" t="s">
        <v>524</v>
      </c>
      <c r="L31" s="6" t="s">
        <v>318</v>
      </c>
      <c r="M31" s="6" t="s">
        <v>547</v>
      </c>
      <c r="N31" s="6" t="s">
        <v>318</v>
      </c>
      <c r="O31" s="6" t="n">
        <v>1</v>
      </c>
    </row>
    <row r="32" customFormat="false" ht="33.75" hidden="false" customHeight="true" outlineLevel="0" collapsed="false">
      <c r="A32" s="6" t="s">
        <v>592</v>
      </c>
      <c r="B32" s="6" t="s">
        <v>387</v>
      </c>
      <c r="C32" s="6" t="s">
        <v>479</v>
      </c>
      <c r="D32" s="6" t="s">
        <v>384</v>
      </c>
      <c r="E32" s="6" t="s">
        <v>475</v>
      </c>
      <c r="F32" s="6" t="s">
        <v>490</v>
      </c>
      <c r="G32" s="6" t="s">
        <v>279</v>
      </c>
      <c r="H32" s="6" t="s">
        <v>275</v>
      </c>
      <c r="I32" s="6" t="s">
        <v>275</v>
      </c>
      <c r="J32" s="7" t="s">
        <v>491</v>
      </c>
      <c r="K32" s="6" t="s">
        <v>492</v>
      </c>
      <c r="L32" s="6" t="s">
        <v>300</v>
      </c>
      <c r="M32" s="6" t="s">
        <v>379</v>
      </c>
      <c r="N32" s="6" t="s">
        <v>268</v>
      </c>
      <c r="O32" s="6" t="n">
        <v>2</v>
      </c>
    </row>
    <row r="33" customFormat="false" ht="33.75" hidden="false" customHeight="true" outlineLevel="0" collapsed="false">
      <c r="A33" s="6" t="s">
        <v>593</v>
      </c>
      <c r="B33" s="6" t="s">
        <v>474</v>
      </c>
      <c r="C33" s="6" t="s">
        <v>479</v>
      </c>
      <c r="D33" s="6" t="s">
        <v>478</v>
      </c>
      <c r="E33" s="6" t="s">
        <v>475</v>
      </c>
      <c r="F33" s="6" t="s">
        <v>476</v>
      </c>
      <c r="G33" s="6" t="s">
        <v>268</v>
      </c>
      <c r="H33" s="6" t="s">
        <v>274</v>
      </c>
      <c r="I33" s="6" t="s">
        <v>275</v>
      </c>
      <c r="J33" s="7" t="s">
        <v>477</v>
      </c>
      <c r="K33" s="6" t="s">
        <v>480</v>
      </c>
      <c r="L33" s="6" t="s">
        <v>279</v>
      </c>
      <c r="M33" s="6" t="s">
        <v>481</v>
      </c>
      <c r="N33" s="6" t="s">
        <v>268</v>
      </c>
      <c r="O33" s="6" t="n">
        <v>5</v>
      </c>
    </row>
    <row r="34" customFormat="false" ht="33.75" hidden="false" customHeight="true" outlineLevel="0" collapsed="false">
      <c r="A34" s="6" t="s">
        <v>594</v>
      </c>
      <c r="B34" s="6" t="s">
        <v>468</v>
      </c>
      <c r="C34" s="6" t="s">
        <v>385</v>
      </c>
      <c r="D34" s="6" t="s">
        <v>384</v>
      </c>
      <c r="E34" s="6" t="s">
        <v>469</v>
      </c>
      <c r="F34" s="6" t="s">
        <v>470</v>
      </c>
      <c r="G34" s="6" t="s">
        <v>268</v>
      </c>
      <c r="H34" s="6" t="s">
        <v>274</v>
      </c>
      <c r="I34" s="6" t="s">
        <v>275</v>
      </c>
      <c r="J34" s="7" t="s">
        <v>472</v>
      </c>
      <c r="K34" s="6" t="s">
        <v>473</v>
      </c>
      <c r="L34" s="6" t="s">
        <v>268</v>
      </c>
      <c r="M34" s="6" t="s">
        <v>379</v>
      </c>
      <c r="N34" s="6" t="s">
        <v>268</v>
      </c>
      <c r="O34" s="6" t="n">
        <v>1</v>
      </c>
    </row>
    <row r="35" customFormat="false" ht="33.75" hidden="false" customHeight="true" outlineLevel="0" collapsed="false">
      <c r="A35" s="6" t="s">
        <v>595</v>
      </c>
      <c r="B35" s="6" t="s">
        <v>402</v>
      </c>
      <c r="C35" s="6" t="s">
        <v>385</v>
      </c>
      <c r="D35" s="6" t="s">
        <v>401</v>
      </c>
      <c r="E35" s="6" t="s">
        <v>380</v>
      </c>
      <c r="F35" s="6" t="s">
        <v>405</v>
      </c>
      <c r="G35" s="6" t="s">
        <v>279</v>
      </c>
      <c r="H35" s="6" t="s">
        <v>275</v>
      </c>
      <c r="I35" s="6" t="s">
        <v>275</v>
      </c>
      <c r="J35" s="7" t="s">
        <v>482</v>
      </c>
      <c r="K35" s="6" t="s">
        <v>398</v>
      </c>
      <c r="L35" s="6" t="s">
        <v>279</v>
      </c>
      <c r="M35" s="6" t="s">
        <v>403</v>
      </c>
      <c r="N35" s="6" t="s">
        <v>318</v>
      </c>
      <c r="O35" s="6" t="n">
        <v>6</v>
      </c>
    </row>
    <row r="36" customFormat="false" ht="33.75" hidden="false" customHeight="true" outlineLevel="0" collapsed="false">
      <c r="A36" s="6" t="s">
        <v>596</v>
      </c>
      <c r="B36" s="6" t="s">
        <v>379</v>
      </c>
      <c r="C36" s="6" t="s">
        <v>385</v>
      </c>
      <c r="D36" s="6" t="s">
        <v>384</v>
      </c>
      <c r="E36" s="6" t="s">
        <v>380</v>
      </c>
      <c r="F36" s="6" t="s">
        <v>381</v>
      </c>
      <c r="G36" s="6" t="s">
        <v>268</v>
      </c>
      <c r="H36" s="6" t="s">
        <v>274</v>
      </c>
      <c r="I36" s="6" t="s">
        <v>275</v>
      </c>
      <c r="J36" s="7" t="s">
        <v>383</v>
      </c>
      <c r="K36" s="6" t="s">
        <v>386</v>
      </c>
      <c r="L36" s="6" t="s">
        <v>277</v>
      </c>
      <c r="M36" s="6" t="s">
        <v>387</v>
      </c>
      <c r="N36" s="6" t="s">
        <v>279</v>
      </c>
      <c r="O36" s="6" t="n">
        <v>7</v>
      </c>
    </row>
    <row r="37" customFormat="false" ht="33.75" hidden="false" customHeight="true" outlineLevel="0" collapsed="false">
      <c r="A37" s="6" t="s">
        <v>597</v>
      </c>
      <c r="B37" s="6" t="s">
        <v>398</v>
      </c>
      <c r="C37" s="6" t="s">
        <v>385</v>
      </c>
      <c r="D37" s="6" t="s">
        <v>401</v>
      </c>
      <c r="E37" s="6" t="s">
        <v>380</v>
      </c>
      <c r="F37" s="6" t="s">
        <v>399</v>
      </c>
      <c r="G37" s="6" t="s">
        <v>279</v>
      </c>
      <c r="H37" s="6" t="s">
        <v>275</v>
      </c>
      <c r="I37" s="6" t="s">
        <v>275</v>
      </c>
      <c r="J37" s="7" t="s">
        <v>400</v>
      </c>
      <c r="K37" s="6" t="s">
        <v>402</v>
      </c>
      <c r="L37" s="6" t="s">
        <v>279</v>
      </c>
      <c r="M37" s="6" t="s">
        <v>403</v>
      </c>
      <c r="N37" s="6" t="s">
        <v>318</v>
      </c>
      <c r="O37" s="6" t="n">
        <v>5</v>
      </c>
    </row>
    <row r="38" customFormat="false" ht="33.75" hidden="false" customHeight="true" outlineLevel="0" collapsed="false">
      <c r="A38" s="6" t="s">
        <v>598</v>
      </c>
      <c r="B38" s="6" t="s">
        <v>473</v>
      </c>
      <c r="C38" s="6" t="s">
        <v>385</v>
      </c>
      <c r="D38" s="6" t="s">
        <v>384</v>
      </c>
      <c r="E38" s="6" t="s">
        <v>372</v>
      </c>
      <c r="F38" s="6" t="s">
        <v>532</v>
      </c>
      <c r="G38" s="6" t="s">
        <v>268</v>
      </c>
      <c r="H38" s="6" t="s">
        <v>274</v>
      </c>
      <c r="I38" s="6" t="s">
        <v>275</v>
      </c>
      <c r="J38" s="7" t="s">
        <v>533</v>
      </c>
      <c r="K38" s="6" t="s">
        <v>468</v>
      </c>
      <c r="L38" s="6" t="s">
        <v>268</v>
      </c>
      <c r="M38" s="6" t="s">
        <v>388</v>
      </c>
      <c r="N38" s="6" t="s">
        <v>279</v>
      </c>
      <c r="O38" s="6" t="n">
        <v>2</v>
      </c>
    </row>
    <row r="39" customFormat="false" ht="33.75" hidden="false" customHeight="true" outlineLevel="0" collapsed="false">
      <c r="A39" s="6" t="s">
        <v>599</v>
      </c>
      <c r="B39" s="6" t="s">
        <v>371</v>
      </c>
      <c r="C39" s="6" t="s">
        <v>376</v>
      </c>
      <c r="D39" s="6" t="s">
        <v>375</v>
      </c>
      <c r="E39" s="6" t="s">
        <v>372</v>
      </c>
      <c r="F39" s="6" t="s">
        <v>373</v>
      </c>
      <c r="G39" s="6" t="s">
        <v>268</v>
      </c>
      <c r="H39" s="6" t="s">
        <v>274</v>
      </c>
      <c r="I39" s="6" t="s">
        <v>275</v>
      </c>
      <c r="J39" s="7" t="s">
        <v>374</v>
      </c>
      <c r="K39" s="6" t="s">
        <v>377</v>
      </c>
      <c r="L39" s="6" t="s">
        <v>279</v>
      </c>
      <c r="M39" s="6" t="s">
        <v>378</v>
      </c>
      <c r="N39" s="6" t="s">
        <v>277</v>
      </c>
      <c r="O39" s="6" t="n">
        <v>6</v>
      </c>
    </row>
    <row r="40" customFormat="false" ht="33.75" hidden="false" customHeight="true" outlineLevel="0" collapsed="false">
      <c r="A40" s="6" t="s">
        <v>600</v>
      </c>
      <c r="B40" s="6" t="s">
        <v>534</v>
      </c>
      <c r="C40" s="6" t="s">
        <v>376</v>
      </c>
      <c r="D40" s="6" t="s">
        <v>375</v>
      </c>
      <c r="E40" s="6" t="s">
        <v>372</v>
      </c>
      <c r="F40" s="6" t="s">
        <v>381</v>
      </c>
      <c r="G40" s="6" t="s">
        <v>268</v>
      </c>
      <c r="H40" s="6" t="s">
        <v>274</v>
      </c>
      <c r="I40" s="6" t="s">
        <v>275</v>
      </c>
      <c r="J40" s="7" t="s">
        <v>535</v>
      </c>
      <c r="K40" s="6" t="s">
        <v>377</v>
      </c>
      <c r="L40" s="6" t="s">
        <v>279</v>
      </c>
      <c r="M40" s="6" t="s">
        <v>378</v>
      </c>
      <c r="N40" s="6" t="s">
        <v>277</v>
      </c>
      <c r="O40" s="6" t="n">
        <v>1</v>
      </c>
    </row>
    <row r="41" customFormat="false" ht="33.75" hidden="false" customHeight="true" outlineLevel="0" collapsed="false">
      <c r="A41" s="6" t="s">
        <v>601</v>
      </c>
      <c r="B41" s="6" t="s">
        <v>392</v>
      </c>
      <c r="C41" s="6" t="s">
        <v>376</v>
      </c>
      <c r="D41" s="6" t="s">
        <v>395</v>
      </c>
      <c r="E41" s="6" t="s">
        <v>372</v>
      </c>
      <c r="F41" s="6" t="s">
        <v>389</v>
      </c>
      <c r="G41" s="6" t="s">
        <v>277</v>
      </c>
      <c r="H41" s="6" t="s">
        <v>274</v>
      </c>
      <c r="I41" s="6" t="s">
        <v>274</v>
      </c>
      <c r="J41" s="7" t="s">
        <v>394</v>
      </c>
      <c r="K41" s="6" t="s">
        <v>396</v>
      </c>
      <c r="L41" s="6" t="s">
        <v>277</v>
      </c>
      <c r="M41" s="6" t="s">
        <v>397</v>
      </c>
      <c r="N41" s="6" t="s">
        <v>277</v>
      </c>
      <c r="O41" s="6" t="n">
        <v>5</v>
      </c>
    </row>
    <row r="42" customFormat="false" ht="33.75" hidden="false" customHeight="true" outlineLevel="0" collapsed="false">
      <c r="A42" s="6" t="s">
        <v>602</v>
      </c>
      <c r="B42" s="6" t="s">
        <v>536</v>
      </c>
      <c r="C42" s="6" t="s">
        <v>376</v>
      </c>
      <c r="D42" s="6" t="s">
        <v>395</v>
      </c>
      <c r="E42" s="6" t="s">
        <v>372</v>
      </c>
      <c r="F42" s="6" t="s">
        <v>537</v>
      </c>
      <c r="G42" s="6" t="s">
        <v>277</v>
      </c>
      <c r="H42" s="6" t="s">
        <v>274</v>
      </c>
      <c r="I42" s="6" t="s">
        <v>274</v>
      </c>
      <c r="J42" s="7" t="s">
        <v>539</v>
      </c>
      <c r="K42" s="6" t="s">
        <v>392</v>
      </c>
      <c r="L42" s="6" t="s">
        <v>277</v>
      </c>
      <c r="M42" s="6" t="s">
        <v>540</v>
      </c>
      <c r="N42" s="6" t="s">
        <v>277</v>
      </c>
      <c r="O42" s="6" t="n">
        <v>1</v>
      </c>
    </row>
    <row r="43" customFormat="false" ht="33.75" hidden="false" customHeight="true" outlineLevel="0" collapsed="false">
      <c r="A43" s="6" t="s">
        <v>603</v>
      </c>
      <c r="B43" s="6" t="s">
        <v>483</v>
      </c>
      <c r="C43" s="6" t="s">
        <v>376</v>
      </c>
      <c r="D43" s="6" t="s">
        <v>487</v>
      </c>
      <c r="E43" s="6" t="s">
        <v>484</v>
      </c>
      <c r="F43" s="6" t="s">
        <v>485</v>
      </c>
      <c r="G43" s="6" t="s">
        <v>279</v>
      </c>
      <c r="H43" s="6" t="s">
        <v>275</v>
      </c>
      <c r="I43" s="6" t="s">
        <v>275</v>
      </c>
      <c r="J43" s="7" t="s">
        <v>486</v>
      </c>
      <c r="K43" s="6" t="s">
        <v>488</v>
      </c>
      <c r="L43" s="6" t="s">
        <v>318</v>
      </c>
      <c r="M43" s="6" t="s">
        <v>489</v>
      </c>
      <c r="N43" s="6" t="s">
        <v>318</v>
      </c>
      <c r="O43" s="6" t="n">
        <v>7</v>
      </c>
    </row>
    <row r="44" customFormat="false" ht="33.75" hidden="false" customHeight="true" outlineLevel="0" collapsed="false">
      <c r="A44" s="6" t="s">
        <v>604</v>
      </c>
      <c r="B44" s="6" t="s">
        <v>388</v>
      </c>
      <c r="C44" s="6" t="s">
        <v>376</v>
      </c>
      <c r="D44" s="6" t="s">
        <v>375</v>
      </c>
      <c r="E44" s="6" t="s">
        <v>372</v>
      </c>
      <c r="F44" s="6" t="s">
        <v>389</v>
      </c>
      <c r="G44" s="6" t="s">
        <v>279</v>
      </c>
      <c r="H44" s="6" t="s">
        <v>274</v>
      </c>
      <c r="I44" s="6" t="s">
        <v>275</v>
      </c>
      <c r="J44" s="7" t="s">
        <v>390</v>
      </c>
      <c r="K44" s="6" t="s">
        <v>391</v>
      </c>
      <c r="L44" s="6" t="s">
        <v>279</v>
      </c>
      <c r="M44" s="6" t="s">
        <v>371</v>
      </c>
      <c r="N44" s="6" t="s">
        <v>268</v>
      </c>
      <c r="O44" s="6" t="n">
        <v>6</v>
      </c>
    </row>
    <row r="45" customFormat="false" ht="33.75" hidden="false" customHeight="true" outlineLevel="0" collapsed="false">
      <c r="A45" s="6" t="s">
        <v>605</v>
      </c>
      <c r="B45" s="6" t="s">
        <v>391</v>
      </c>
      <c r="C45" s="6" t="s">
        <v>376</v>
      </c>
      <c r="D45" s="6" t="s">
        <v>375</v>
      </c>
      <c r="E45" s="6" t="s">
        <v>372</v>
      </c>
      <c r="F45" s="6" t="s">
        <v>475</v>
      </c>
      <c r="G45" s="6" t="s">
        <v>279</v>
      </c>
      <c r="H45" s="6" t="s">
        <v>274</v>
      </c>
      <c r="I45" s="6" t="s">
        <v>275</v>
      </c>
      <c r="J45" s="7" t="s">
        <v>530</v>
      </c>
      <c r="K45" s="6" t="s">
        <v>371</v>
      </c>
      <c r="L45" s="6" t="s">
        <v>268</v>
      </c>
      <c r="M45" s="6" t="s">
        <v>388</v>
      </c>
      <c r="N45" s="6" t="s">
        <v>279</v>
      </c>
      <c r="O45" s="6" t="n">
        <v>3</v>
      </c>
    </row>
    <row r="46" customFormat="false" ht="33.75" hidden="false" customHeight="true" outlineLevel="0" collapsed="false">
      <c r="A46" s="6" t="s">
        <v>606</v>
      </c>
      <c r="B46" s="6" t="s">
        <v>512</v>
      </c>
      <c r="C46" s="6" t="s">
        <v>287</v>
      </c>
      <c r="D46" s="6" t="s">
        <v>286</v>
      </c>
      <c r="E46" s="6" t="s">
        <v>281</v>
      </c>
      <c r="F46" s="6" t="s">
        <v>282</v>
      </c>
      <c r="G46" s="6" t="s">
        <v>277</v>
      </c>
      <c r="H46" s="6" t="s">
        <v>274</v>
      </c>
      <c r="I46" s="6" t="s">
        <v>275</v>
      </c>
      <c r="J46" s="7" t="s">
        <v>513</v>
      </c>
      <c r="K46" s="6" t="s">
        <v>288</v>
      </c>
      <c r="L46" s="6" t="s">
        <v>277</v>
      </c>
      <c r="M46" s="6" t="s">
        <v>289</v>
      </c>
      <c r="N46" s="6" t="s">
        <v>279</v>
      </c>
      <c r="O46" s="6" t="n">
        <v>1</v>
      </c>
    </row>
    <row r="47" customFormat="false" ht="33.75" hidden="false" customHeight="true" outlineLevel="0" collapsed="false">
      <c r="A47" s="6" t="s">
        <v>607</v>
      </c>
      <c r="B47" s="6" t="s">
        <v>343</v>
      </c>
      <c r="C47" s="6" t="s">
        <v>287</v>
      </c>
      <c r="D47" s="6" t="s">
        <v>348</v>
      </c>
      <c r="E47" s="6" t="s">
        <v>344</v>
      </c>
      <c r="F47" s="6" t="s">
        <v>345</v>
      </c>
      <c r="G47" s="6" t="s">
        <v>300</v>
      </c>
      <c r="H47" s="6" t="s">
        <v>275</v>
      </c>
      <c r="I47" s="6" t="s">
        <v>275</v>
      </c>
      <c r="J47" s="7" t="s">
        <v>347</v>
      </c>
      <c r="K47" s="6" t="s">
        <v>349</v>
      </c>
      <c r="L47" s="6" t="s">
        <v>279</v>
      </c>
      <c r="M47" s="6" t="s">
        <v>350</v>
      </c>
      <c r="N47" s="6" t="s">
        <v>318</v>
      </c>
      <c r="O47" s="6" t="n">
        <v>5</v>
      </c>
    </row>
    <row r="48" customFormat="false" ht="33.75" hidden="false" customHeight="true" outlineLevel="0" collapsed="false">
      <c r="A48" s="6" t="s">
        <v>608</v>
      </c>
      <c r="B48" s="6" t="s">
        <v>297</v>
      </c>
      <c r="C48" s="6" t="s">
        <v>287</v>
      </c>
      <c r="D48" s="6" t="s">
        <v>304</v>
      </c>
      <c r="E48" s="6" t="s">
        <v>298</v>
      </c>
      <c r="F48" s="6" t="s">
        <v>299</v>
      </c>
      <c r="G48" s="6" t="s">
        <v>300</v>
      </c>
      <c r="H48" s="6" t="s">
        <v>275</v>
      </c>
      <c r="I48" s="6" t="s">
        <v>274</v>
      </c>
      <c r="J48" s="7" t="s">
        <v>303</v>
      </c>
      <c r="K48" s="6" t="s">
        <v>305</v>
      </c>
      <c r="L48" s="6" t="s">
        <v>277</v>
      </c>
      <c r="M48" s="6" t="s">
        <v>306</v>
      </c>
      <c r="N48" s="6" t="s">
        <v>279</v>
      </c>
      <c r="O48" s="6" t="n">
        <v>5</v>
      </c>
    </row>
    <row r="49" customFormat="false" ht="33.75" hidden="false" customHeight="true" outlineLevel="0" collapsed="false">
      <c r="A49" s="6" t="s">
        <v>609</v>
      </c>
      <c r="B49" s="6" t="s">
        <v>305</v>
      </c>
      <c r="C49" s="6" t="s">
        <v>287</v>
      </c>
      <c r="D49" s="6" t="s">
        <v>304</v>
      </c>
      <c r="E49" s="6" t="s">
        <v>298</v>
      </c>
      <c r="F49" s="6" t="s">
        <v>431</v>
      </c>
      <c r="G49" s="6" t="s">
        <v>277</v>
      </c>
      <c r="H49" s="6" t="s">
        <v>275</v>
      </c>
      <c r="I49" s="6" t="s">
        <v>275</v>
      </c>
      <c r="J49" s="7" t="s">
        <v>514</v>
      </c>
      <c r="K49" s="6" t="s">
        <v>297</v>
      </c>
      <c r="L49" s="6" t="s">
        <v>300</v>
      </c>
      <c r="M49" s="6" t="s">
        <v>306</v>
      </c>
      <c r="N49" s="6" t="s">
        <v>279</v>
      </c>
      <c r="O49" s="6" t="n">
        <v>6</v>
      </c>
    </row>
    <row r="50" customFormat="false" ht="33.75" hidden="false" customHeight="true" outlineLevel="0" collapsed="false">
      <c r="A50" s="6" t="s">
        <v>610</v>
      </c>
      <c r="B50" s="6" t="s">
        <v>306</v>
      </c>
      <c r="C50" s="6" t="s">
        <v>287</v>
      </c>
      <c r="D50" s="6" t="s">
        <v>304</v>
      </c>
      <c r="E50" s="6" t="s">
        <v>298</v>
      </c>
      <c r="F50" s="6" t="s">
        <v>299</v>
      </c>
      <c r="G50" s="6" t="s">
        <v>279</v>
      </c>
      <c r="H50" s="6" t="s">
        <v>275</v>
      </c>
      <c r="I50" s="6" t="s">
        <v>275</v>
      </c>
      <c r="J50" s="7" t="s">
        <v>611</v>
      </c>
      <c r="K50" s="6" t="s">
        <v>297</v>
      </c>
      <c r="L50" s="6" t="s">
        <v>300</v>
      </c>
      <c r="M50" s="6" t="s">
        <v>305</v>
      </c>
      <c r="N50" s="6" t="s">
        <v>277</v>
      </c>
      <c r="O50" s="6" t="n">
        <v>1</v>
      </c>
    </row>
    <row r="51" customFormat="false" ht="33.75" hidden="false" customHeight="true" outlineLevel="0" collapsed="false">
      <c r="A51" s="6" t="s">
        <v>612</v>
      </c>
      <c r="B51" s="6" t="s">
        <v>349</v>
      </c>
      <c r="C51" s="6" t="s">
        <v>287</v>
      </c>
      <c r="D51" s="6" t="s">
        <v>348</v>
      </c>
      <c r="E51" s="6" t="s">
        <v>344</v>
      </c>
      <c r="F51" s="6" t="s">
        <v>448</v>
      </c>
      <c r="G51" s="6" t="s">
        <v>279</v>
      </c>
      <c r="H51" s="6" t="s">
        <v>275</v>
      </c>
      <c r="I51" s="6" t="s">
        <v>275</v>
      </c>
      <c r="J51" s="7" t="s">
        <v>449</v>
      </c>
      <c r="K51" s="6" t="s">
        <v>450</v>
      </c>
      <c r="L51" s="6" t="s">
        <v>277</v>
      </c>
      <c r="M51" s="6" t="s">
        <v>451</v>
      </c>
      <c r="N51" s="6" t="s">
        <v>300</v>
      </c>
      <c r="O51" s="6" t="n">
        <v>5</v>
      </c>
    </row>
    <row r="52" customFormat="false" ht="33.75" hidden="false" customHeight="true" outlineLevel="0" collapsed="false">
      <c r="A52" s="6" t="s">
        <v>613</v>
      </c>
      <c r="B52" s="6" t="s">
        <v>288</v>
      </c>
      <c r="C52" s="6" t="s">
        <v>287</v>
      </c>
      <c r="D52" s="6" t="s">
        <v>286</v>
      </c>
      <c r="E52" s="6" t="s">
        <v>281</v>
      </c>
      <c r="F52" s="6" t="s">
        <v>282</v>
      </c>
      <c r="G52" s="6" t="s">
        <v>277</v>
      </c>
      <c r="H52" s="6" t="s">
        <v>274</v>
      </c>
      <c r="I52" s="6" t="s">
        <v>275</v>
      </c>
      <c r="J52" s="7" t="s">
        <v>413</v>
      </c>
      <c r="K52" s="6" t="s">
        <v>280</v>
      </c>
      <c r="L52" s="6" t="s">
        <v>268</v>
      </c>
      <c r="M52" s="6" t="s">
        <v>289</v>
      </c>
      <c r="N52" s="6" t="s">
        <v>279</v>
      </c>
      <c r="O52" s="6" t="n">
        <v>6</v>
      </c>
    </row>
    <row r="53" customFormat="false" ht="33.75" hidden="false" customHeight="true" outlineLevel="0" collapsed="false">
      <c r="A53" s="6" t="s">
        <v>614</v>
      </c>
      <c r="B53" s="6" t="s">
        <v>280</v>
      </c>
      <c r="C53" s="6" t="s">
        <v>287</v>
      </c>
      <c r="D53" s="6" t="s">
        <v>286</v>
      </c>
      <c r="E53" s="6" t="s">
        <v>281</v>
      </c>
      <c r="F53" s="6" t="s">
        <v>282</v>
      </c>
      <c r="G53" s="6" t="s">
        <v>268</v>
      </c>
      <c r="H53" s="6" t="s">
        <v>274</v>
      </c>
      <c r="I53" s="6" t="s">
        <v>275</v>
      </c>
      <c r="J53" s="7" t="s">
        <v>285</v>
      </c>
      <c r="K53" s="6" t="s">
        <v>288</v>
      </c>
      <c r="L53" s="6" t="s">
        <v>277</v>
      </c>
      <c r="M53" s="6" t="s">
        <v>289</v>
      </c>
      <c r="N53" s="6" t="s">
        <v>279</v>
      </c>
      <c r="O53" s="6" t="n">
        <v>1</v>
      </c>
    </row>
    <row r="54" customFormat="false" ht="33.75" hidden="false" customHeight="true" outlineLevel="0" collapsed="false">
      <c r="A54" s="6" t="s">
        <v>615</v>
      </c>
      <c r="B54" s="6" t="s">
        <v>452</v>
      </c>
      <c r="C54" s="6" t="s">
        <v>458</v>
      </c>
      <c r="D54" s="6" t="s">
        <v>457</v>
      </c>
      <c r="E54" s="6" t="s">
        <v>453</v>
      </c>
      <c r="F54" s="6" t="s">
        <v>454</v>
      </c>
      <c r="G54" s="6" t="s">
        <v>268</v>
      </c>
      <c r="H54" s="6" t="s">
        <v>275</v>
      </c>
      <c r="I54" s="6" t="s">
        <v>275</v>
      </c>
      <c r="J54" s="7" t="s">
        <v>456</v>
      </c>
      <c r="K54" s="6" t="s">
        <v>459</v>
      </c>
      <c r="L54" s="6" t="s">
        <v>277</v>
      </c>
      <c r="M54" s="6" t="s">
        <v>460</v>
      </c>
      <c r="N54" s="6" t="s">
        <v>300</v>
      </c>
      <c r="O54" s="6" t="n">
        <v>2</v>
      </c>
    </row>
    <row r="55" customFormat="false" ht="33.75" hidden="false" customHeight="true" outlineLevel="0" collapsed="false">
      <c r="A55" s="6" t="s">
        <v>616</v>
      </c>
      <c r="B55" s="6" t="s">
        <v>434</v>
      </c>
      <c r="C55" s="6" t="s">
        <v>313</v>
      </c>
      <c r="D55" s="6" t="s">
        <v>438</v>
      </c>
      <c r="E55" s="6" t="s">
        <v>435</v>
      </c>
      <c r="F55" s="6" t="s">
        <v>436</v>
      </c>
      <c r="G55" s="6" t="s">
        <v>300</v>
      </c>
      <c r="H55" s="6" t="s">
        <v>275</v>
      </c>
      <c r="I55" s="6" t="s">
        <v>275</v>
      </c>
      <c r="J55" s="7" t="s">
        <v>437</v>
      </c>
      <c r="K55" s="6" t="s">
        <v>439</v>
      </c>
      <c r="L55" s="6" t="s">
        <v>300</v>
      </c>
      <c r="M55" s="6" t="s">
        <v>440</v>
      </c>
      <c r="N55" s="6" t="s">
        <v>318</v>
      </c>
      <c r="O55" s="6" t="n">
        <v>7</v>
      </c>
    </row>
    <row r="56" customFormat="false" ht="33.75" hidden="false" customHeight="true" outlineLevel="0" collapsed="false">
      <c r="A56" s="6" t="s">
        <v>617</v>
      </c>
      <c r="B56" s="6" t="s">
        <v>315</v>
      </c>
      <c r="C56" s="6" t="s">
        <v>313</v>
      </c>
      <c r="D56" s="6" t="s">
        <v>438</v>
      </c>
      <c r="E56" s="6" t="s">
        <v>308</v>
      </c>
      <c r="F56" s="6" t="s">
        <v>436</v>
      </c>
      <c r="G56" s="6" t="s">
        <v>268</v>
      </c>
      <c r="H56" s="6" t="s">
        <v>275</v>
      </c>
      <c r="I56" s="6" t="s">
        <v>275</v>
      </c>
      <c r="J56" s="7" t="s">
        <v>515</v>
      </c>
      <c r="K56" s="6" t="s">
        <v>307</v>
      </c>
      <c r="L56" s="6" t="s">
        <v>300</v>
      </c>
      <c r="M56" s="6" t="s">
        <v>314</v>
      </c>
      <c r="N56" s="6" t="s">
        <v>277</v>
      </c>
      <c r="O56" s="6" t="n">
        <v>1</v>
      </c>
    </row>
    <row r="57" customFormat="false" ht="33.75" hidden="false" customHeight="true" outlineLevel="0" collapsed="false">
      <c r="A57" s="6" t="s">
        <v>618</v>
      </c>
      <c r="B57" s="6" t="s">
        <v>307</v>
      </c>
      <c r="C57" s="6" t="s">
        <v>313</v>
      </c>
      <c r="D57" s="6" t="s">
        <v>312</v>
      </c>
      <c r="E57" s="6" t="s">
        <v>308</v>
      </c>
      <c r="F57" s="6" t="s">
        <v>309</v>
      </c>
      <c r="G57" s="6" t="s">
        <v>300</v>
      </c>
      <c r="H57" s="6" t="s">
        <v>275</v>
      </c>
      <c r="I57" s="6" t="s">
        <v>275</v>
      </c>
      <c r="J57" s="7" t="s">
        <v>311</v>
      </c>
      <c r="K57" s="6" t="s">
        <v>314</v>
      </c>
      <c r="L57" s="6" t="s">
        <v>277</v>
      </c>
      <c r="M57" s="6" t="s">
        <v>315</v>
      </c>
      <c r="N57" s="6" t="s">
        <v>268</v>
      </c>
      <c r="O57" s="6" t="n">
        <v>4</v>
      </c>
    </row>
  </sheetData>
  <autoFilter ref="A1:O57"/>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8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7"/>
    <col collapsed="false" customWidth="true" hidden="false" outlineLevel="0" max="2" min="2" style="0" width="15"/>
    <col collapsed="false" customWidth="true" hidden="false" outlineLevel="0" max="3" min="3" style="0" width="18"/>
    <col collapsed="false" customWidth="true" hidden="false" outlineLevel="0" max="5" min="4" style="0" width="20"/>
    <col collapsed="false" customWidth="true" hidden="false" outlineLevel="0" max="7" min="6" style="0" width="17"/>
    <col collapsed="false" customWidth="true" hidden="false" outlineLevel="0" max="8" min="8" style="0" width="52"/>
  </cols>
  <sheetData>
    <row r="1" customFormat="false" ht="25.5" hidden="false" customHeight="true" outlineLevel="0" collapsed="false">
      <c r="A1" s="5" t="s">
        <v>63</v>
      </c>
      <c r="B1" s="5" t="s">
        <v>42</v>
      </c>
      <c r="C1" s="5" t="s">
        <v>619</v>
      </c>
      <c r="D1" s="5" t="s">
        <v>70</v>
      </c>
      <c r="E1" s="5" t="s">
        <v>620</v>
      </c>
      <c r="F1" s="5" t="s">
        <v>621</v>
      </c>
      <c r="G1" s="5" t="s">
        <v>622</v>
      </c>
      <c r="H1" s="5" t="s">
        <v>623</v>
      </c>
    </row>
    <row r="2" customFormat="false" ht="15" hidden="false" customHeight="false" outlineLevel="0" collapsed="false">
      <c r="A2" s="6" t="s">
        <v>74</v>
      </c>
      <c r="B2" s="6" t="s">
        <v>273</v>
      </c>
      <c r="C2" s="6" t="n">
        <f aca="false">SUMIFS(exercises_master!$H:$H,exercises_master!$N:$N,$A2,exercises_master!$P:$P,$B2)</f>
        <v>18</v>
      </c>
      <c r="D2" s="6" t="n">
        <f aca="false">IFERROR(INDEX(splits_overview!$H:$H,MATCH($A2,splits_overview!$A:$A,0)),1)</f>
        <v>1</v>
      </c>
      <c r="E2" s="6" t="n">
        <f aca="false">ROUND($C2*$D2,1)</f>
        <v>18</v>
      </c>
      <c r="F2" s="8" t="n">
        <v>8</v>
      </c>
      <c r="G2" s="8" t="n">
        <v>20</v>
      </c>
      <c r="H2" s="7" t="str">
        <f aca="false">IF($E2=0,"Not directly trained",IF($E2&lt;$F2,"Below MEV - add sets or rely on indirect work",IF($E2&lt;=$G2,"Within MEV-MAV productive range","Above MAV - monitor recovery")))</f>
        <v>Within MEV-MAV productive range</v>
      </c>
    </row>
    <row r="3" customFormat="false" ht="15" hidden="false" customHeight="false" outlineLevel="0" collapsed="false">
      <c r="A3" s="6" t="s">
        <v>74</v>
      </c>
      <c r="B3" s="6" t="s">
        <v>328</v>
      </c>
      <c r="C3" s="6" t="n">
        <f aca="false">SUMIFS(exercises_master!$H:$H,exercises_master!$N:$N,$A3,exercises_master!$P:$P,$B3)</f>
        <v>25</v>
      </c>
      <c r="D3" s="6" t="n">
        <f aca="false">IFERROR(INDEX(splits_overview!$H:$H,MATCH($A3,splits_overview!$A:$A,0)),1)</f>
        <v>1</v>
      </c>
      <c r="E3" s="6" t="n">
        <f aca="false">ROUND($C3*$D3,1)</f>
        <v>25</v>
      </c>
      <c r="F3" s="8" t="n">
        <v>10</v>
      </c>
      <c r="G3" s="8" t="n">
        <v>25</v>
      </c>
      <c r="H3" s="7" t="str">
        <f aca="false">IF($E3=0,"Not directly trained",IF($E3&lt;$F3,"Below MEV - add sets or rely on indirect work",IF($E3&lt;=$G3,"Within MEV-MAV productive range","Above MAV - monitor recovery")))</f>
        <v>Within MEV-MAV productive range</v>
      </c>
    </row>
    <row r="4" customFormat="false" ht="15" hidden="false" customHeight="false" outlineLevel="0" collapsed="false">
      <c r="A4" s="6" t="s">
        <v>74</v>
      </c>
      <c r="B4" s="6" t="s">
        <v>287</v>
      </c>
      <c r="C4" s="6" t="n">
        <f aca="false">SUMIFS(exercises_master!$H:$H,exercises_master!$N:$N,$A4,exercises_master!$P:$P,$B4)</f>
        <v>20</v>
      </c>
      <c r="D4" s="6" t="n">
        <f aca="false">IFERROR(INDEX(splits_overview!$H:$H,MATCH($A4,splits_overview!$A:$A,0)),1)</f>
        <v>1</v>
      </c>
      <c r="E4" s="6" t="n">
        <f aca="false">ROUND($C4*$D4,1)</f>
        <v>20</v>
      </c>
      <c r="F4" s="8" t="n">
        <v>8</v>
      </c>
      <c r="G4" s="8" t="n">
        <v>26</v>
      </c>
      <c r="H4" s="7" t="str">
        <f aca="false">IF($E4=0,"Not directly trained",IF($E4&lt;$F4,"Below MEV - add sets or rely on indirect work",IF($E4&lt;=$G4,"Within MEV-MAV productive range","Above MAV - monitor recovery")))</f>
        <v>Within MEV-MAV productive range</v>
      </c>
    </row>
    <row r="5" customFormat="false" ht="15" hidden="false" customHeight="false" outlineLevel="0" collapsed="false">
      <c r="A5" s="6" t="s">
        <v>74</v>
      </c>
      <c r="B5" s="6" t="s">
        <v>458</v>
      </c>
      <c r="C5" s="6" t="n">
        <f aca="false">SUMIFS(exercises_master!$H:$H,exercises_master!$N:$N,$A5,exercises_master!$P:$P,$B5)</f>
        <v>3</v>
      </c>
      <c r="D5" s="6" t="n">
        <f aca="false">IFERROR(INDEX(splits_overview!$H:$H,MATCH($A5,splits_overview!$A:$A,0)),1)</f>
        <v>1</v>
      </c>
      <c r="E5" s="6" t="n">
        <f aca="false">ROUND($C5*$D5,1)</f>
        <v>3</v>
      </c>
      <c r="F5" s="8" t="n">
        <v>4</v>
      </c>
      <c r="G5" s="8" t="n">
        <v>16</v>
      </c>
      <c r="H5" s="7" t="str">
        <f aca="false">IF($E5=0,"Not directly trained",IF($E5&lt;$F5,"Below MEV - add sets or rely on indirect work",IF($E5&lt;=$G5,"Within MEV-MAV productive range","Above MAV - monitor recovery")))</f>
        <v>Below MEV - add sets or rely on indirect work</v>
      </c>
    </row>
    <row r="6" customFormat="false" ht="15" hidden="false" customHeight="false" outlineLevel="0" collapsed="false">
      <c r="A6" s="6" t="s">
        <v>74</v>
      </c>
      <c r="B6" s="6" t="s">
        <v>362</v>
      </c>
      <c r="C6" s="6" t="n">
        <f aca="false">SUMIFS(exercises_master!$H:$H,exercises_master!$N:$N,$A6,exercises_master!$P:$P,$B6)</f>
        <v>10</v>
      </c>
      <c r="D6" s="6" t="n">
        <f aca="false">IFERROR(INDEX(splits_overview!$H:$H,MATCH($A6,splits_overview!$A:$A,0)),1)</f>
        <v>1</v>
      </c>
      <c r="E6" s="6" t="n">
        <f aca="false">ROUND($C6*$D6,1)</f>
        <v>10</v>
      </c>
      <c r="F6" s="8" t="n">
        <v>8</v>
      </c>
      <c r="G6" s="8" t="n">
        <v>20</v>
      </c>
      <c r="H6" s="7" t="str">
        <f aca="false">IF($E6=0,"Not directly trained",IF($E6&lt;$F6,"Below MEV - add sets or rely on indirect work",IF($E6&lt;=$G6,"Within MEV-MAV productive range","Above MAV - monitor recovery")))</f>
        <v>Within MEV-MAV productive range</v>
      </c>
    </row>
    <row r="7" customFormat="false" ht="15" hidden="false" customHeight="false" outlineLevel="0" collapsed="false">
      <c r="A7" s="6" t="s">
        <v>74</v>
      </c>
      <c r="B7" s="6" t="s">
        <v>313</v>
      </c>
      <c r="C7" s="6" t="n">
        <f aca="false">SUMIFS(exercises_master!$H:$H,exercises_master!$N:$N,$A7,exercises_master!$P:$P,$B7)</f>
        <v>6</v>
      </c>
      <c r="D7" s="6" t="n">
        <f aca="false">IFERROR(INDEX(splits_overview!$H:$H,MATCH($A7,splits_overview!$A:$A,0)),1)</f>
        <v>1</v>
      </c>
      <c r="E7" s="6" t="n">
        <f aca="false">ROUND($C7*$D7,1)</f>
        <v>6</v>
      </c>
      <c r="F7" s="8" t="n">
        <v>6</v>
      </c>
      <c r="G7" s="8" t="n">
        <v>18</v>
      </c>
      <c r="H7" s="7" t="str">
        <f aca="false">IF($E7=0,"Not directly trained",IF($E7&lt;$F7,"Below MEV - add sets or rely on indirect work",IF($E7&lt;=$G7,"Within MEV-MAV productive range","Above MAV - monitor recovery")))</f>
        <v>Within MEV-MAV productive range</v>
      </c>
    </row>
    <row r="8" customFormat="false" ht="15" hidden="false" customHeight="false" outlineLevel="0" collapsed="false">
      <c r="A8" s="6" t="s">
        <v>74</v>
      </c>
      <c r="B8" s="6" t="s">
        <v>376</v>
      </c>
      <c r="C8" s="6" t="n">
        <f aca="false">SUMIFS(exercises_master!$H:$H,exercises_master!$N:$N,$A8,exercises_master!$P:$P,$B8)</f>
        <v>13</v>
      </c>
      <c r="D8" s="6" t="n">
        <f aca="false">IFERROR(INDEX(splits_overview!$H:$H,MATCH($A8,splits_overview!$A:$A,0)),1)</f>
        <v>1</v>
      </c>
      <c r="E8" s="6" t="n">
        <f aca="false">ROUND($C8*$D8,1)</f>
        <v>13</v>
      </c>
      <c r="F8" s="8" t="n">
        <v>8</v>
      </c>
      <c r="G8" s="8" t="n">
        <v>20</v>
      </c>
      <c r="H8" s="7" t="str">
        <f aca="false">IF($E8=0,"Not directly trained",IF($E8&lt;$F8,"Below MEV - add sets or rely on indirect work",IF($E8&lt;=$G8,"Within MEV-MAV productive range","Above MAV - monitor recovery")))</f>
        <v>Within MEV-MAV productive range</v>
      </c>
    </row>
    <row r="9" customFormat="false" ht="15" hidden="false" customHeight="false" outlineLevel="0" collapsed="false">
      <c r="A9" s="6" t="s">
        <v>74</v>
      </c>
      <c r="B9" s="6" t="s">
        <v>385</v>
      </c>
      <c r="C9" s="6" t="n">
        <f aca="false">SUMIFS(exercises_master!$H:$H,exercises_master!$N:$N,$A9,exercises_master!$P:$P,$B9)</f>
        <v>13</v>
      </c>
      <c r="D9" s="6" t="n">
        <f aca="false">IFERROR(INDEX(splits_overview!$H:$H,MATCH($A9,splits_overview!$A:$A,0)),1)</f>
        <v>1</v>
      </c>
      <c r="E9" s="6" t="n">
        <f aca="false">ROUND($C9*$D9,1)</f>
        <v>13</v>
      </c>
      <c r="F9" s="8" t="n">
        <v>6</v>
      </c>
      <c r="G9" s="8" t="n">
        <v>16</v>
      </c>
      <c r="H9" s="7" t="str">
        <f aca="false">IF($E9=0,"Not directly trained",IF($E9&lt;$F9,"Below MEV - add sets or rely on indirect work",IF($E9&lt;=$G9,"Within MEV-MAV productive range","Above MAV - monitor recovery")))</f>
        <v>Within MEV-MAV productive range</v>
      </c>
    </row>
    <row r="10" customFormat="false" ht="15" hidden="false" customHeight="false" outlineLevel="0" collapsed="false">
      <c r="A10" s="6" t="s">
        <v>74</v>
      </c>
      <c r="B10" s="6" t="s">
        <v>479</v>
      </c>
      <c r="C10" s="6" t="n">
        <f aca="false">SUMIFS(exercises_master!$H:$H,exercises_master!$N:$N,$A10,exercises_master!$P:$P,$B10)</f>
        <v>7</v>
      </c>
      <c r="D10" s="6" t="n">
        <f aca="false">IFERROR(INDEX(splits_overview!$H:$H,MATCH($A10,splits_overview!$A:$A,0)),1)</f>
        <v>1</v>
      </c>
      <c r="E10" s="6" t="n">
        <f aca="false">ROUND($C10*$D10,1)</f>
        <v>7</v>
      </c>
      <c r="F10" s="8" t="n">
        <v>4</v>
      </c>
      <c r="G10" s="8" t="n">
        <v>16</v>
      </c>
      <c r="H10" s="7" t="str">
        <f aca="false">IF($E10=0,"Not directly trained",IF($E10&lt;$F10,"Below MEV - add sets or rely on indirect work",IF($E10&lt;=$G10,"Within MEV-MAV productive range","Above MAV - monitor recovery")))</f>
        <v>Within MEV-MAV productive range</v>
      </c>
    </row>
    <row r="11" customFormat="false" ht="15" hidden="false" customHeight="false" outlineLevel="0" collapsed="false">
      <c r="A11" s="6" t="s">
        <v>74</v>
      </c>
      <c r="B11" s="6" t="s">
        <v>410</v>
      </c>
      <c r="C11" s="6" t="n">
        <f aca="false">SUMIFS(exercises_master!$H:$H,exercises_master!$N:$N,$A11,exercises_master!$P:$P,$B11)</f>
        <v>8</v>
      </c>
      <c r="D11" s="6" t="n">
        <f aca="false">IFERROR(INDEX(splits_overview!$H:$H,MATCH($A11,splits_overview!$A:$A,0)),1)</f>
        <v>1</v>
      </c>
      <c r="E11" s="6" t="n">
        <f aca="false">ROUND($C11*$D11,1)</f>
        <v>8</v>
      </c>
      <c r="F11" s="8" t="n">
        <v>8</v>
      </c>
      <c r="G11" s="8" t="n">
        <v>20</v>
      </c>
      <c r="H11" s="7" t="str">
        <f aca="false">IF($E11=0,"Not directly trained",IF($E11&lt;$F11,"Below MEV - add sets or rely on indirect work",IF($E11&lt;=$G11,"Within MEV-MAV productive range","Above MAV - monitor recovery")))</f>
        <v>Within MEV-MAV productive range</v>
      </c>
    </row>
    <row r="12" customFormat="false" ht="15" hidden="false" customHeight="false" outlineLevel="0" collapsed="false">
      <c r="A12" s="6" t="s">
        <v>74</v>
      </c>
      <c r="B12" s="6" t="s">
        <v>503</v>
      </c>
      <c r="C12" s="6" t="n">
        <f aca="false">SUMIFS(exercises_master!$H:$H,exercises_master!$N:$N,$A12,exercises_master!$P:$P,$B12)</f>
        <v>3</v>
      </c>
      <c r="D12" s="6" t="n">
        <f aca="false">IFERROR(INDEX(splits_overview!$H:$H,MATCH($A12,splits_overview!$A:$A,0)),1)</f>
        <v>1</v>
      </c>
      <c r="E12" s="6" t="n">
        <f aca="false">ROUND($C12*$D12,1)</f>
        <v>3</v>
      </c>
      <c r="F12" s="8" t="n">
        <v>6</v>
      </c>
      <c r="G12" s="8" t="n">
        <v>20</v>
      </c>
      <c r="H12" s="7" t="str">
        <f aca="false">IF($E12=0,"Not directly trained",IF($E12&lt;$F12,"Below MEV - add sets or rely on indirect work",IF($E12&lt;=$G12,"Within MEV-MAV productive range","Above MAV - monitor recovery")))</f>
        <v>Below MEV - add sets or rely on indirect work</v>
      </c>
    </row>
    <row r="13" customFormat="false" ht="15" hidden="false" customHeight="false" outlineLevel="0" collapsed="false">
      <c r="A13" s="6" t="s">
        <v>81</v>
      </c>
      <c r="B13" s="6" t="s">
        <v>273</v>
      </c>
      <c r="C13" s="6" t="n">
        <f aca="false">SUMIFS(exercises_master!$H:$H,exercises_master!$N:$N,$A13,exercises_master!$P:$P,$B13)</f>
        <v>11</v>
      </c>
      <c r="D13" s="6" t="n">
        <f aca="false">IFERROR(INDEX(splits_overview!$H:$H,MATCH($A13,splits_overview!$A:$A,0)),1)</f>
        <v>2</v>
      </c>
      <c r="E13" s="6" t="n">
        <f aca="false">ROUND($C13*$D13,1)</f>
        <v>22</v>
      </c>
      <c r="F13" s="8" t="n">
        <v>8</v>
      </c>
      <c r="G13" s="8" t="n">
        <v>20</v>
      </c>
      <c r="H13" s="7" t="str">
        <f aca="false">IF($E13=0,"Not directly trained",IF($E13&lt;$F13,"Below MEV - add sets or rely on indirect work",IF($E13&lt;=$G13,"Within MEV-MAV productive range","Above MAV - monitor recovery")))</f>
        <v>Above MAV - monitor recovery</v>
      </c>
    </row>
    <row r="14" customFormat="false" ht="15" hidden="false" customHeight="false" outlineLevel="0" collapsed="false">
      <c r="A14" s="6" t="s">
        <v>81</v>
      </c>
      <c r="B14" s="6" t="s">
        <v>328</v>
      </c>
      <c r="C14" s="6" t="n">
        <f aca="false">SUMIFS(exercises_master!$H:$H,exercises_master!$N:$N,$A14,exercises_master!$P:$P,$B14)</f>
        <v>14</v>
      </c>
      <c r="D14" s="6" t="n">
        <f aca="false">IFERROR(INDEX(splits_overview!$H:$H,MATCH($A14,splits_overview!$A:$A,0)),1)</f>
        <v>2</v>
      </c>
      <c r="E14" s="6" t="n">
        <f aca="false">ROUND($C14*$D14,1)</f>
        <v>28</v>
      </c>
      <c r="F14" s="8" t="n">
        <v>10</v>
      </c>
      <c r="G14" s="8" t="n">
        <v>25</v>
      </c>
      <c r="H14" s="7" t="str">
        <f aca="false">IF($E14=0,"Not directly trained",IF($E14&lt;$F14,"Below MEV - add sets or rely on indirect work",IF($E14&lt;=$G14,"Within MEV-MAV productive range","Above MAV - monitor recovery")))</f>
        <v>Above MAV - monitor recovery</v>
      </c>
    </row>
    <row r="15" customFormat="false" ht="15" hidden="false" customHeight="false" outlineLevel="0" collapsed="false">
      <c r="A15" s="6" t="s">
        <v>81</v>
      </c>
      <c r="B15" s="6" t="s">
        <v>287</v>
      </c>
      <c r="C15" s="6" t="n">
        <f aca="false">SUMIFS(exercises_master!$H:$H,exercises_master!$N:$N,$A15,exercises_master!$P:$P,$B15)</f>
        <v>11</v>
      </c>
      <c r="D15" s="6" t="n">
        <f aca="false">IFERROR(INDEX(splits_overview!$H:$H,MATCH($A15,splits_overview!$A:$A,0)),1)</f>
        <v>2</v>
      </c>
      <c r="E15" s="6" t="n">
        <f aca="false">ROUND($C15*$D15,1)</f>
        <v>22</v>
      </c>
      <c r="F15" s="8" t="n">
        <v>8</v>
      </c>
      <c r="G15" s="8" t="n">
        <v>26</v>
      </c>
      <c r="H15" s="7" t="str">
        <f aca="false">IF($E15=0,"Not directly trained",IF($E15&lt;$F15,"Below MEV - add sets or rely on indirect work",IF($E15&lt;=$G15,"Within MEV-MAV productive range","Above MAV - monitor recovery")))</f>
        <v>Within MEV-MAV productive range</v>
      </c>
    </row>
    <row r="16" customFormat="false" ht="15" hidden="false" customHeight="false" outlineLevel="0" collapsed="false">
      <c r="A16" s="6" t="s">
        <v>81</v>
      </c>
      <c r="B16" s="6" t="s">
        <v>458</v>
      </c>
      <c r="C16" s="6" t="n">
        <f aca="false">SUMIFS(exercises_master!$H:$H,exercises_master!$N:$N,$A16,exercises_master!$P:$P,$B16)</f>
        <v>0</v>
      </c>
      <c r="D16" s="6" t="n">
        <f aca="false">IFERROR(INDEX(splits_overview!$H:$H,MATCH($A16,splits_overview!$A:$A,0)),1)</f>
        <v>2</v>
      </c>
      <c r="E16" s="6" t="n">
        <f aca="false">ROUND($C16*$D16,1)</f>
        <v>0</v>
      </c>
      <c r="F16" s="8" t="n">
        <v>4</v>
      </c>
      <c r="G16" s="8" t="n">
        <v>16</v>
      </c>
      <c r="H16" s="7" t="str">
        <f aca="false">IF($E16=0,"Not directly trained",IF($E16&lt;$F16,"Below MEV - add sets or rely on indirect work",IF($E16&lt;=$G16,"Within MEV-MAV productive range","Above MAV - monitor recovery")))</f>
        <v>Not directly trained</v>
      </c>
    </row>
    <row r="17" customFormat="false" ht="15" hidden="false" customHeight="false" outlineLevel="0" collapsed="false">
      <c r="A17" s="6" t="s">
        <v>81</v>
      </c>
      <c r="B17" s="6" t="s">
        <v>362</v>
      </c>
      <c r="C17" s="6" t="n">
        <f aca="false">SUMIFS(exercises_master!$H:$H,exercises_master!$N:$N,$A17,exercises_master!$P:$P,$B17)</f>
        <v>6</v>
      </c>
      <c r="D17" s="6" t="n">
        <f aca="false">IFERROR(INDEX(splits_overview!$H:$H,MATCH($A17,splits_overview!$A:$A,0)),1)</f>
        <v>2</v>
      </c>
      <c r="E17" s="6" t="n">
        <f aca="false">ROUND($C17*$D17,1)</f>
        <v>12</v>
      </c>
      <c r="F17" s="8" t="n">
        <v>8</v>
      </c>
      <c r="G17" s="8" t="n">
        <v>20</v>
      </c>
      <c r="H17" s="7" t="str">
        <f aca="false">IF($E17=0,"Not directly trained",IF($E17&lt;$F17,"Below MEV - add sets or rely on indirect work",IF($E17&lt;=$G17,"Within MEV-MAV productive range","Above MAV - monitor recovery")))</f>
        <v>Within MEV-MAV productive range</v>
      </c>
    </row>
    <row r="18" customFormat="false" ht="15" hidden="false" customHeight="false" outlineLevel="0" collapsed="false">
      <c r="A18" s="6" t="s">
        <v>81</v>
      </c>
      <c r="B18" s="6" t="s">
        <v>313</v>
      </c>
      <c r="C18" s="6" t="n">
        <f aca="false">SUMIFS(exercises_master!$H:$H,exercises_master!$N:$N,$A18,exercises_master!$P:$P,$B18)</f>
        <v>6</v>
      </c>
      <c r="D18" s="6" t="n">
        <f aca="false">IFERROR(INDEX(splits_overview!$H:$H,MATCH($A18,splits_overview!$A:$A,0)),1)</f>
        <v>2</v>
      </c>
      <c r="E18" s="6" t="n">
        <f aca="false">ROUND($C18*$D18,1)</f>
        <v>12</v>
      </c>
      <c r="F18" s="8" t="n">
        <v>6</v>
      </c>
      <c r="G18" s="8" t="n">
        <v>18</v>
      </c>
      <c r="H18" s="7" t="str">
        <f aca="false">IF($E18=0,"Not directly trained",IF($E18&lt;$F18,"Below MEV - add sets or rely on indirect work",IF($E18&lt;=$G18,"Within MEV-MAV productive range","Above MAV - monitor recovery")))</f>
        <v>Within MEV-MAV productive range</v>
      </c>
    </row>
    <row r="19" customFormat="false" ht="15" hidden="false" customHeight="false" outlineLevel="0" collapsed="false">
      <c r="A19" s="6" t="s">
        <v>81</v>
      </c>
      <c r="B19" s="6" t="s">
        <v>376</v>
      </c>
      <c r="C19" s="6" t="n">
        <f aca="false">SUMIFS(exercises_master!$H:$H,exercises_master!$N:$N,$A19,exercises_master!$P:$P,$B19)</f>
        <v>12</v>
      </c>
      <c r="D19" s="6" t="n">
        <f aca="false">IFERROR(INDEX(splits_overview!$H:$H,MATCH($A19,splits_overview!$A:$A,0)),1)</f>
        <v>2</v>
      </c>
      <c r="E19" s="6" t="n">
        <f aca="false">ROUND($C19*$D19,1)</f>
        <v>24</v>
      </c>
      <c r="F19" s="8" t="n">
        <v>8</v>
      </c>
      <c r="G19" s="8" t="n">
        <v>20</v>
      </c>
      <c r="H19" s="7" t="str">
        <f aca="false">IF($E19=0,"Not directly trained",IF($E19&lt;$F19,"Below MEV - add sets or rely on indirect work",IF($E19&lt;=$G19,"Within MEV-MAV productive range","Above MAV - monitor recovery")))</f>
        <v>Above MAV - monitor recovery</v>
      </c>
    </row>
    <row r="20" customFormat="false" ht="15" hidden="false" customHeight="false" outlineLevel="0" collapsed="false">
      <c r="A20" s="6" t="s">
        <v>81</v>
      </c>
      <c r="B20" s="6" t="s">
        <v>385</v>
      </c>
      <c r="C20" s="6" t="n">
        <f aca="false">SUMIFS(exercises_master!$H:$H,exercises_master!$N:$N,$A20,exercises_master!$P:$P,$B20)</f>
        <v>8</v>
      </c>
      <c r="D20" s="6" t="n">
        <f aca="false">IFERROR(INDEX(splits_overview!$H:$H,MATCH($A20,splits_overview!$A:$A,0)),1)</f>
        <v>2</v>
      </c>
      <c r="E20" s="6" t="n">
        <f aca="false">ROUND($C20*$D20,1)</f>
        <v>16</v>
      </c>
      <c r="F20" s="8" t="n">
        <v>6</v>
      </c>
      <c r="G20" s="8" t="n">
        <v>16</v>
      </c>
      <c r="H20" s="7" t="str">
        <f aca="false">IF($E20=0,"Not directly trained",IF($E20&lt;$F20,"Below MEV - add sets or rely on indirect work",IF($E20&lt;=$G20,"Within MEV-MAV productive range","Above MAV - monitor recovery")))</f>
        <v>Within MEV-MAV productive range</v>
      </c>
    </row>
    <row r="21" customFormat="false" ht="15" hidden="false" customHeight="false" outlineLevel="0" collapsed="false">
      <c r="A21" s="6" t="s">
        <v>81</v>
      </c>
      <c r="B21" s="6" t="s">
        <v>479</v>
      </c>
      <c r="C21" s="6" t="n">
        <f aca="false">SUMIFS(exercises_master!$H:$H,exercises_master!$N:$N,$A21,exercises_master!$P:$P,$B21)</f>
        <v>0</v>
      </c>
      <c r="D21" s="6" t="n">
        <f aca="false">IFERROR(INDEX(splits_overview!$H:$H,MATCH($A21,splits_overview!$A:$A,0)),1)</f>
        <v>2</v>
      </c>
      <c r="E21" s="6" t="n">
        <f aca="false">ROUND($C21*$D21,1)</f>
        <v>0</v>
      </c>
      <c r="F21" s="8" t="n">
        <v>4</v>
      </c>
      <c r="G21" s="8" t="n">
        <v>16</v>
      </c>
      <c r="H21" s="7" t="str">
        <f aca="false">IF($E21=0,"Not directly trained",IF($E21&lt;$F21,"Below MEV - add sets or rely on indirect work",IF($E21&lt;=$G21,"Within MEV-MAV productive range","Above MAV - monitor recovery")))</f>
        <v>Not directly trained</v>
      </c>
    </row>
    <row r="22" customFormat="false" ht="15" hidden="false" customHeight="false" outlineLevel="0" collapsed="false">
      <c r="A22" s="6" t="s">
        <v>81</v>
      </c>
      <c r="B22" s="6" t="s">
        <v>410</v>
      </c>
      <c r="C22" s="6" t="n">
        <f aca="false">SUMIFS(exercises_master!$H:$H,exercises_master!$N:$N,$A22,exercises_master!$P:$P,$B22)</f>
        <v>5</v>
      </c>
      <c r="D22" s="6" t="n">
        <f aca="false">IFERROR(INDEX(splits_overview!$H:$H,MATCH($A22,splits_overview!$A:$A,0)),1)</f>
        <v>2</v>
      </c>
      <c r="E22" s="6" t="n">
        <f aca="false">ROUND($C22*$D22,1)</f>
        <v>10</v>
      </c>
      <c r="F22" s="8" t="n">
        <v>8</v>
      </c>
      <c r="G22" s="8" t="n">
        <v>20</v>
      </c>
      <c r="H22" s="7" t="str">
        <f aca="false">IF($E22=0,"Not directly trained",IF($E22&lt;$F22,"Below MEV - add sets or rely on indirect work",IF($E22&lt;=$G22,"Within MEV-MAV productive range","Above MAV - monitor recovery")))</f>
        <v>Within MEV-MAV productive range</v>
      </c>
    </row>
    <row r="23" customFormat="false" ht="15" hidden="false" customHeight="false" outlineLevel="0" collapsed="false">
      <c r="A23" s="6" t="s">
        <v>81</v>
      </c>
      <c r="B23" s="6" t="s">
        <v>503</v>
      </c>
      <c r="C23" s="6" t="n">
        <f aca="false">SUMIFS(exercises_master!$H:$H,exercises_master!$N:$N,$A23,exercises_master!$P:$P,$B23)</f>
        <v>3</v>
      </c>
      <c r="D23" s="6" t="n">
        <f aca="false">IFERROR(INDEX(splits_overview!$H:$H,MATCH($A23,splits_overview!$A:$A,0)),1)</f>
        <v>2</v>
      </c>
      <c r="E23" s="6" t="n">
        <f aca="false">ROUND($C23*$D23,1)</f>
        <v>6</v>
      </c>
      <c r="F23" s="8" t="n">
        <v>6</v>
      </c>
      <c r="G23" s="8" t="n">
        <v>20</v>
      </c>
      <c r="H23" s="7" t="str">
        <f aca="false">IF($E23=0,"Not directly trained",IF($E23&lt;$F23,"Below MEV - add sets or rely on indirect work",IF($E23&lt;=$G23,"Within MEV-MAV productive range","Above MAV - monitor recovery")))</f>
        <v>Within MEV-MAV productive range</v>
      </c>
    </row>
    <row r="24" customFormat="false" ht="15" hidden="false" customHeight="false" outlineLevel="0" collapsed="false">
      <c r="A24" s="6" t="s">
        <v>87</v>
      </c>
      <c r="B24" s="6" t="s">
        <v>273</v>
      </c>
      <c r="C24" s="6" t="n">
        <f aca="false">SUMIFS(exercises_master!$H:$H,exercises_master!$N:$N,$A24,exercises_master!$P:$P,$B24)</f>
        <v>8</v>
      </c>
      <c r="D24" s="6" t="n">
        <f aca="false">IFERROR(INDEX(splits_overview!$H:$H,MATCH($A24,splits_overview!$A:$A,0)),1)</f>
        <v>1</v>
      </c>
      <c r="E24" s="6" t="n">
        <f aca="false">ROUND($C24*$D24,1)</f>
        <v>8</v>
      </c>
      <c r="F24" s="8" t="n">
        <v>8</v>
      </c>
      <c r="G24" s="8" t="n">
        <v>20</v>
      </c>
      <c r="H24" s="7" t="str">
        <f aca="false">IF($E24=0,"Not directly trained",IF($E24&lt;$F24,"Below MEV - add sets or rely on indirect work",IF($E24&lt;=$G24,"Within MEV-MAV productive range","Above MAV - monitor recovery")))</f>
        <v>Within MEV-MAV productive range</v>
      </c>
    </row>
    <row r="25" customFormat="false" ht="15" hidden="false" customHeight="false" outlineLevel="0" collapsed="false">
      <c r="A25" s="6" t="s">
        <v>87</v>
      </c>
      <c r="B25" s="6" t="s">
        <v>328</v>
      </c>
      <c r="C25" s="6" t="n">
        <f aca="false">SUMIFS(exercises_master!$H:$H,exercises_master!$N:$N,$A25,exercises_master!$P:$P,$B25)</f>
        <v>14</v>
      </c>
      <c r="D25" s="6" t="n">
        <f aca="false">IFERROR(INDEX(splits_overview!$H:$H,MATCH($A25,splits_overview!$A:$A,0)),1)</f>
        <v>1</v>
      </c>
      <c r="E25" s="6" t="n">
        <f aca="false">ROUND($C25*$D25,1)</f>
        <v>14</v>
      </c>
      <c r="F25" s="8" t="n">
        <v>10</v>
      </c>
      <c r="G25" s="8" t="n">
        <v>25</v>
      </c>
      <c r="H25" s="7" t="str">
        <f aca="false">IF($E25=0,"Not directly trained",IF($E25&lt;$F25,"Below MEV - add sets or rely on indirect work",IF($E25&lt;=$G25,"Within MEV-MAV productive range","Above MAV - monitor recovery")))</f>
        <v>Within MEV-MAV productive range</v>
      </c>
    </row>
    <row r="26" customFormat="false" ht="15" hidden="false" customHeight="false" outlineLevel="0" collapsed="false">
      <c r="A26" s="6" t="s">
        <v>87</v>
      </c>
      <c r="B26" s="6" t="s">
        <v>287</v>
      </c>
      <c r="C26" s="6" t="n">
        <f aca="false">SUMIFS(exercises_master!$H:$H,exercises_master!$N:$N,$A26,exercises_master!$P:$P,$B26)</f>
        <v>13</v>
      </c>
      <c r="D26" s="6" t="n">
        <f aca="false">IFERROR(INDEX(splits_overview!$H:$H,MATCH($A26,splits_overview!$A:$A,0)),1)</f>
        <v>1</v>
      </c>
      <c r="E26" s="6" t="n">
        <f aca="false">ROUND($C26*$D26,1)</f>
        <v>13</v>
      </c>
      <c r="F26" s="8" t="n">
        <v>8</v>
      </c>
      <c r="G26" s="8" t="n">
        <v>26</v>
      </c>
      <c r="H26" s="7" t="str">
        <f aca="false">IF($E26=0,"Not directly trained",IF($E26&lt;$F26,"Below MEV - add sets or rely on indirect work",IF($E26&lt;=$G26,"Within MEV-MAV productive range","Above MAV - monitor recovery")))</f>
        <v>Within MEV-MAV productive range</v>
      </c>
    </row>
    <row r="27" customFormat="false" ht="15" hidden="false" customHeight="false" outlineLevel="0" collapsed="false">
      <c r="A27" s="6" t="s">
        <v>87</v>
      </c>
      <c r="B27" s="6" t="s">
        <v>458</v>
      </c>
      <c r="C27" s="6" t="n">
        <f aca="false">SUMIFS(exercises_master!$H:$H,exercises_master!$N:$N,$A27,exercises_master!$P:$P,$B27)</f>
        <v>0</v>
      </c>
      <c r="D27" s="6" t="n">
        <f aca="false">IFERROR(INDEX(splits_overview!$H:$H,MATCH($A27,splits_overview!$A:$A,0)),1)</f>
        <v>1</v>
      </c>
      <c r="E27" s="6" t="n">
        <f aca="false">ROUND($C27*$D27,1)</f>
        <v>0</v>
      </c>
      <c r="F27" s="8" t="n">
        <v>4</v>
      </c>
      <c r="G27" s="8" t="n">
        <v>16</v>
      </c>
      <c r="H27" s="7" t="str">
        <f aca="false">IF($E27=0,"Not directly trained",IF($E27&lt;$F27,"Below MEV - add sets or rely on indirect work",IF($E27&lt;=$G27,"Within MEV-MAV productive range","Above MAV - monitor recovery")))</f>
        <v>Not directly trained</v>
      </c>
    </row>
    <row r="28" customFormat="false" ht="15" hidden="false" customHeight="false" outlineLevel="0" collapsed="false">
      <c r="A28" s="6" t="s">
        <v>87</v>
      </c>
      <c r="B28" s="6" t="s">
        <v>362</v>
      </c>
      <c r="C28" s="6" t="n">
        <f aca="false">SUMIFS(exercises_master!$H:$H,exercises_master!$N:$N,$A28,exercises_master!$P:$P,$B28)</f>
        <v>6</v>
      </c>
      <c r="D28" s="6" t="n">
        <f aca="false">IFERROR(INDEX(splits_overview!$H:$H,MATCH($A28,splits_overview!$A:$A,0)),1)</f>
        <v>1</v>
      </c>
      <c r="E28" s="6" t="n">
        <f aca="false">ROUND($C28*$D28,1)</f>
        <v>6</v>
      </c>
      <c r="F28" s="8" t="n">
        <v>8</v>
      </c>
      <c r="G28" s="8" t="n">
        <v>20</v>
      </c>
      <c r="H28" s="7" t="str">
        <f aca="false">IF($E28=0,"Not directly trained",IF($E28&lt;$F28,"Below MEV - add sets or rely on indirect work",IF($E28&lt;=$G28,"Within MEV-MAV productive range","Above MAV - monitor recovery")))</f>
        <v>Below MEV - add sets or rely on indirect work</v>
      </c>
    </row>
    <row r="29" customFormat="false" ht="15" hidden="false" customHeight="false" outlineLevel="0" collapsed="false">
      <c r="A29" s="6" t="s">
        <v>87</v>
      </c>
      <c r="B29" s="6" t="s">
        <v>313</v>
      </c>
      <c r="C29" s="6" t="n">
        <f aca="false">SUMIFS(exercises_master!$H:$H,exercises_master!$N:$N,$A29,exercises_master!$P:$P,$B29)</f>
        <v>6</v>
      </c>
      <c r="D29" s="6" t="n">
        <f aca="false">IFERROR(INDEX(splits_overview!$H:$H,MATCH($A29,splits_overview!$A:$A,0)),1)</f>
        <v>1</v>
      </c>
      <c r="E29" s="6" t="n">
        <f aca="false">ROUND($C29*$D29,1)</f>
        <v>6</v>
      </c>
      <c r="F29" s="8" t="n">
        <v>6</v>
      </c>
      <c r="G29" s="8" t="n">
        <v>18</v>
      </c>
      <c r="H29" s="7" t="str">
        <f aca="false">IF($E29=0,"Not directly trained",IF($E29&lt;$F29,"Below MEV - add sets or rely on indirect work",IF($E29&lt;=$G29,"Within MEV-MAV productive range","Above MAV - monitor recovery")))</f>
        <v>Within MEV-MAV productive range</v>
      </c>
    </row>
    <row r="30" customFormat="false" ht="15" hidden="false" customHeight="false" outlineLevel="0" collapsed="false">
      <c r="A30" s="6" t="s">
        <v>87</v>
      </c>
      <c r="B30" s="6" t="s">
        <v>376</v>
      </c>
      <c r="C30" s="6" t="n">
        <f aca="false">SUMIFS(exercises_master!$H:$H,exercises_master!$N:$N,$A30,exercises_master!$P:$P,$B30)</f>
        <v>17</v>
      </c>
      <c r="D30" s="6" t="n">
        <f aca="false">IFERROR(INDEX(splits_overview!$H:$H,MATCH($A30,splits_overview!$A:$A,0)),1)</f>
        <v>1</v>
      </c>
      <c r="E30" s="6" t="n">
        <f aca="false">ROUND($C30*$D30,1)</f>
        <v>17</v>
      </c>
      <c r="F30" s="8" t="n">
        <v>8</v>
      </c>
      <c r="G30" s="8" t="n">
        <v>20</v>
      </c>
      <c r="H30" s="7" t="str">
        <f aca="false">IF($E30=0,"Not directly trained",IF($E30&lt;$F30,"Below MEV - add sets or rely on indirect work",IF($E30&lt;=$G30,"Within MEV-MAV productive range","Above MAV - monitor recovery")))</f>
        <v>Within MEV-MAV productive range</v>
      </c>
    </row>
    <row r="31" customFormat="false" ht="15" hidden="false" customHeight="false" outlineLevel="0" collapsed="false">
      <c r="A31" s="6" t="s">
        <v>87</v>
      </c>
      <c r="B31" s="6" t="s">
        <v>385</v>
      </c>
      <c r="C31" s="6" t="n">
        <f aca="false">SUMIFS(exercises_master!$H:$H,exercises_master!$N:$N,$A31,exercises_master!$P:$P,$B31)</f>
        <v>10</v>
      </c>
      <c r="D31" s="6" t="n">
        <f aca="false">IFERROR(INDEX(splits_overview!$H:$H,MATCH($A31,splits_overview!$A:$A,0)),1)</f>
        <v>1</v>
      </c>
      <c r="E31" s="6" t="n">
        <f aca="false">ROUND($C31*$D31,1)</f>
        <v>10</v>
      </c>
      <c r="F31" s="8" t="n">
        <v>6</v>
      </c>
      <c r="G31" s="8" t="n">
        <v>16</v>
      </c>
      <c r="H31" s="7" t="str">
        <f aca="false">IF($E31=0,"Not directly trained",IF($E31&lt;$F31,"Below MEV - add sets or rely on indirect work",IF($E31&lt;=$G31,"Within MEV-MAV productive range","Above MAV - monitor recovery")))</f>
        <v>Within MEV-MAV productive range</v>
      </c>
    </row>
    <row r="32" customFormat="false" ht="15" hidden="false" customHeight="false" outlineLevel="0" collapsed="false">
      <c r="A32" s="6" t="s">
        <v>87</v>
      </c>
      <c r="B32" s="6" t="s">
        <v>479</v>
      </c>
      <c r="C32" s="6" t="n">
        <f aca="false">SUMIFS(exercises_master!$H:$H,exercises_master!$N:$N,$A32,exercises_master!$P:$P,$B32)</f>
        <v>4</v>
      </c>
      <c r="D32" s="6" t="n">
        <f aca="false">IFERROR(INDEX(splits_overview!$H:$H,MATCH($A32,splits_overview!$A:$A,0)),1)</f>
        <v>1</v>
      </c>
      <c r="E32" s="6" t="n">
        <f aca="false">ROUND($C32*$D32,1)</f>
        <v>4</v>
      </c>
      <c r="F32" s="8" t="n">
        <v>4</v>
      </c>
      <c r="G32" s="8" t="n">
        <v>16</v>
      </c>
      <c r="H32" s="7" t="str">
        <f aca="false">IF($E32=0,"Not directly trained",IF($E32&lt;$F32,"Below MEV - add sets or rely on indirect work",IF($E32&lt;=$G32,"Within MEV-MAV productive range","Above MAV - monitor recovery")))</f>
        <v>Within MEV-MAV productive range</v>
      </c>
    </row>
    <row r="33" customFormat="false" ht="15" hidden="false" customHeight="false" outlineLevel="0" collapsed="false">
      <c r="A33" s="6" t="s">
        <v>87</v>
      </c>
      <c r="B33" s="6" t="s">
        <v>410</v>
      </c>
      <c r="C33" s="6" t="n">
        <f aca="false">SUMIFS(exercises_master!$H:$H,exercises_master!$N:$N,$A33,exercises_master!$P:$P,$B33)</f>
        <v>8</v>
      </c>
      <c r="D33" s="6" t="n">
        <f aca="false">IFERROR(INDEX(splits_overview!$H:$H,MATCH($A33,splits_overview!$A:$A,0)),1)</f>
        <v>1</v>
      </c>
      <c r="E33" s="6" t="n">
        <f aca="false">ROUND($C33*$D33,1)</f>
        <v>8</v>
      </c>
      <c r="F33" s="8" t="n">
        <v>8</v>
      </c>
      <c r="G33" s="8" t="n">
        <v>20</v>
      </c>
      <c r="H33" s="7" t="str">
        <f aca="false">IF($E33=0,"Not directly trained",IF($E33&lt;$F33,"Below MEV - add sets or rely on indirect work",IF($E33&lt;=$G33,"Within MEV-MAV productive range","Above MAV - monitor recovery")))</f>
        <v>Within MEV-MAV productive range</v>
      </c>
    </row>
    <row r="34" customFormat="false" ht="15" hidden="false" customHeight="false" outlineLevel="0" collapsed="false">
      <c r="A34" s="6" t="s">
        <v>87</v>
      </c>
      <c r="B34" s="6" t="s">
        <v>503</v>
      </c>
      <c r="C34" s="6" t="n">
        <f aca="false">SUMIFS(exercises_master!$H:$H,exercises_master!$N:$N,$A34,exercises_master!$P:$P,$B34)</f>
        <v>6</v>
      </c>
      <c r="D34" s="6" t="n">
        <f aca="false">IFERROR(INDEX(splits_overview!$H:$H,MATCH($A34,splits_overview!$A:$A,0)),1)</f>
        <v>1</v>
      </c>
      <c r="E34" s="6" t="n">
        <f aca="false">ROUND($C34*$D34,1)</f>
        <v>6</v>
      </c>
      <c r="F34" s="8" t="n">
        <v>6</v>
      </c>
      <c r="G34" s="8" t="n">
        <v>20</v>
      </c>
      <c r="H34" s="7" t="str">
        <f aca="false">IF($E34=0,"Not directly trained",IF($E34&lt;$F34,"Below MEV - add sets or rely on indirect work",IF($E34&lt;=$G34,"Within MEV-MAV productive range","Above MAV - monitor recovery")))</f>
        <v>Within MEV-MAV productive range</v>
      </c>
    </row>
    <row r="35" customFormat="false" ht="15" hidden="false" customHeight="false" outlineLevel="0" collapsed="false">
      <c r="A35" s="6" t="s">
        <v>94</v>
      </c>
      <c r="B35" s="6" t="s">
        <v>273</v>
      </c>
      <c r="C35" s="6" t="n">
        <f aca="false">SUMIFS(exercises_master!$H:$H,exercises_master!$N:$N,$A35,exercises_master!$P:$P,$B35)</f>
        <v>11</v>
      </c>
      <c r="D35" s="6" t="n">
        <f aca="false">IFERROR(INDEX(splits_overview!$H:$H,MATCH($A35,splits_overview!$A:$A,0)),1)</f>
        <v>1</v>
      </c>
      <c r="E35" s="6" t="n">
        <f aca="false">ROUND($C35*$D35,1)</f>
        <v>11</v>
      </c>
      <c r="F35" s="8" t="n">
        <v>8</v>
      </c>
      <c r="G35" s="8" t="n">
        <v>20</v>
      </c>
      <c r="H35" s="7" t="str">
        <f aca="false">IF($E35=0,"Not directly trained",IF($E35&lt;$F35,"Below MEV - add sets or rely on indirect work",IF($E35&lt;=$G35,"Within MEV-MAV productive range","Above MAV - monitor recovery")))</f>
        <v>Within MEV-MAV productive range</v>
      </c>
    </row>
    <row r="36" customFormat="false" ht="15" hidden="false" customHeight="false" outlineLevel="0" collapsed="false">
      <c r="A36" s="6" t="s">
        <v>94</v>
      </c>
      <c r="B36" s="6" t="s">
        <v>328</v>
      </c>
      <c r="C36" s="6" t="n">
        <f aca="false">SUMIFS(exercises_master!$H:$H,exercises_master!$N:$N,$A36,exercises_master!$P:$P,$B36)</f>
        <v>14</v>
      </c>
      <c r="D36" s="6" t="n">
        <f aca="false">IFERROR(INDEX(splits_overview!$H:$H,MATCH($A36,splits_overview!$A:$A,0)),1)</f>
        <v>1</v>
      </c>
      <c r="E36" s="6" t="n">
        <f aca="false">ROUND($C36*$D36,1)</f>
        <v>14</v>
      </c>
      <c r="F36" s="8" t="n">
        <v>10</v>
      </c>
      <c r="G36" s="8" t="n">
        <v>25</v>
      </c>
      <c r="H36" s="7" t="str">
        <f aca="false">IF($E36=0,"Not directly trained",IF($E36&lt;$F36,"Below MEV - add sets or rely on indirect work",IF($E36&lt;=$G36,"Within MEV-MAV productive range","Above MAV - monitor recovery")))</f>
        <v>Within MEV-MAV productive range</v>
      </c>
    </row>
    <row r="37" customFormat="false" ht="15" hidden="false" customHeight="false" outlineLevel="0" collapsed="false">
      <c r="A37" s="6" t="s">
        <v>94</v>
      </c>
      <c r="B37" s="6" t="s">
        <v>287</v>
      </c>
      <c r="C37" s="6" t="n">
        <f aca="false">SUMIFS(exercises_master!$H:$H,exercises_master!$N:$N,$A37,exercises_master!$P:$P,$B37)</f>
        <v>16</v>
      </c>
      <c r="D37" s="6" t="n">
        <f aca="false">IFERROR(INDEX(splits_overview!$H:$H,MATCH($A37,splits_overview!$A:$A,0)),1)</f>
        <v>1</v>
      </c>
      <c r="E37" s="6" t="n">
        <f aca="false">ROUND($C37*$D37,1)</f>
        <v>16</v>
      </c>
      <c r="F37" s="8" t="n">
        <v>8</v>
      </c>
      <c r="G37" s="8" t="n">
        <v>26</v>
      </c>
      <c r="H37" s="7" t="str">
        <f aca="false">IF($E37=0,"Not directly trained",IF($E37&lt;$F37,"Below MEV - add sets or rely on indirect work",IF($E37&lt;=$G37,"Within MEV-MAV productive range","Above MAV - monitor recovery")))</f>
        <v>Within MEV-MAV productive range</v>
      </c>
    </row>
    <row r="38" customFormat="false" ht="15" hidden="false" customHeight="false" outlineLevel="0" collapsed="false">
      <c r="A38" s="6" t="s">
        <v>94</v>
      </c>
      <c r="B38" s="6" t="s">
        <v>458</v>
      </c>
      <c r="C38" s="6" t="n">
        <f aca="false">SUMIFS(exercises_master!$H:$H,exercises_master!$N:$N,$A38,exercises_master!$P:$P,$B38)</f>
        <v>0</v>
      </c>
      <c r="D38" s="6" t="n">
        <f aca="false">IFERROR(INDEX(splits_overview!$H:$H,MATCH($A38,splits_overview!$A:$A,0)),1)</f>
        <v>1</v>
      </c>
      <c r="E38" s="6" t="n">
        <f aca="false">ROUND($C38*$D38,1)</f>
        <v>0</v>
      </c>
      <c r="F38" s="8" t="n">
        <v>4</v>
      </c>
      <c r="G38" s="8" t="n">
        <v>16</v>
      </c>
      <c r="H38" s="7" t="str">
        <f aca="false">IF($E38=0,"Not directly trained",IF($E38&lt;$F38,"Below MEV - add sets or rely on indirect work",IF($E38&lt;=$G38,"Within MEV-MAV productive range","Above MAV - monitor recovery")))</f>
        <v>Not directly trained</v>
      </c>
    </row>
    <row r="39" customFormat="false" ht="15" hidden="false" customHeight="false" outlineLevel="0" collapsed="false">
      <c r="A39" s="6" t="s">
        <v>94</v>
      </c>
      <c r="B39" s="6" t="s">
        <v>362</v>
      </c>
      <c r="C39" s="6" t="n">
        <f aca="false">SUMIFS(exercises_master!$H:$H,exercises_master!$N:$N,$A39,exercises_master!$P:$P,$B39)</f>
        <v>6</v>
      </c>
      <c r="D39" s="6" t="n">
        <f aca="false">IFERROR(INDEX(splits_overview!$H:$H,MATCH($A39,splits_overview!$A:$A,0)),1)</f>
        <v>1</v>
      </c>
      <c r="E39" s="6" t="n">
        <f aca="false">ROUND($C39*$D39,1)</f>
        <v>6</v>
      </c>
      <c r="F39" s="8" t="n">
        <v>8</v>
      </c>
      <c r="G39" s="8" t="n">
        <v>20</v>
      </c>
      <c r="H39" s="7" t="str">
        <f aca="false">IF($E39=0,"Not directly trained",IF($E39&lt;$F39,"Below MEV - add sets or rely on indirect work",IF($E39&lt;=$G39,"Within MEV-MAV productive range","Above MAV - monitor recovery")))</f>
        <v>Below MEV - add sets or rely on indirect work</v>
      </c>
    </row>
    <row r="40" customFormat="false" ht="15" hidden="false" customHeight="false" outlineLevel="0" collapsed="false">
      <c r="A40" s="6" t="s">
        <v>94</v>
      </c>
      <c r="B40" s="6" t="s">
        <v>313</v>
      </c>
      <c r="C40" s="6" t="n">
        <f aca="false">SUMIFS(exercises_master!$H:$H,exercises_master!$N:$N,$A40,exercises_master!$P:$P,$B40)</f>
        <v>3</v>
      </c>
      <c r="D40" s="6" t="n">
        <f aca="false">IFERROR(INDEX(splits_overview!$H:$H,MATCH($A40,splits_overview!$A:$A,0)),1)</f>
        <v>1</v>
      </c>
      <c r="E40" s="6" t="n">
        <f aca="false">ROUND($C40*$D40,1)</f>
        <v>3</v>
      </c>
      <c r="F40" s="8" t="n">
        <v>6</v>
      </c>
      <c r="G40" s="8" t="n">
        <v>18</v>
      </c>
      <c r="H40" s="7" t="str">
        <f aca="false">IF($E40=0,"Not directly trained",IF($E40&lt;$F40,"Below MEV - add sets or rely on indirect work",IF($E40&lt;=$G40,"Within MEV-MAV productive range","Above MAV - monitor recovery")))</f>
        <v>Below MEV - add sets or rely on indirect work</v>
      </c>
    </row>
    <row r="41" customFormat="false" ht="15" hidden="false" customHeight="false" outlineLevel="0" collapsed="false">
      <c r="A41" s="6" t="s">
        <v>94</v>
      </c>
      <c r="B41" s="6" t="s">
        <v>376</v>
      </c>
      <c r="C41" s="6" t="n">
        <f aca="false">SUMIFS(exercises_master!$H:$H,exercises_master!$N:$N,$A41,exercises_master!$P:$P,$B41)</f>
        <v>20</v>
      </c>
      <c r="D41" s="6" t="n">
        <f aca="false">IFERROR(INDEX(splits_overview!$H:$H,MATCH($A41,splits_overview!$A:$A,0)),1)</f>
        <v>1</v>
      </c>
      <c r="E41" s="6" t="n">
        <f aca="false">ROUND($C41*$D41,1)</f>
        <v>20</v>
      </c>
      <c r="F41" s="8" t="n">
        <v>8</v>
      </c>
      <c r="G41" s="8" t="n">
        <v>20</v>
      </c>
      <c r="H41" s="7" t="str">
        <f aca="false">IF($E41=0,"Not directly trained",IF($E41&lt;$F41,"Below MEV - add sets or rely on indirect work",IF($E41&lt;=$G41,"Within MEV-MAV productive range","Above MAV - monitor recovery")))</f>
        <v>Within MEV-MAV productive range</v>
      </c>
    </row>
    <row r="42" customFormat="false" ht="15" hidden="false" customHeight="false" outlineLevel="0" collapsed="false">
      <c r="A42" s="6" t="s">
        <v>94</v>
      </c>
      <c r="B42" s="6" t="s">
        <v>385</v>
      </c>
      <c r="C42" s="6" t="n">
        <f aca="false">SUMIFS(exercises_master!$H:$H,exercises_master!$N:$N,$A42,exercises_master!$P:$P,$B42)</f>
        <v>14</v>
      </c>
      <c r="D42" s="6" t="n">
        <f aca="false">IFERROR(INDEX(splits_overview!$H:$H,MATCH($A42,splits_overview!$A:$A,0)),1)</f>
        <v>1</v>
      </c>
      <c r="E42" s="6" t="n">
        <f aca="false">ROUND($C42*$D42,1)</f>
        <v>14</v>
      </c>
      <c r="F42" s="8" t="n">
        <v>6</v>
      </c>
      <c r="G42" s="8" t="n">
        <v>16</v>
      </c>
      <c r="H42" s="7" t="str">
        <f aca="false">IF($E42=0,"Not directly trained",IF($E42&lt;$F42,"Below MEV - add sets or rely on indirect work",IF($E42&lt;=$G42,"Within MEV-MAV productive range","Above MAV - monitor recovery")))</f>
        <v>Within MEV-MAV productive range</v>
      </c>
    </row>
    <row r="43" customFormat="false" ht="15" hidden="false" customHeight="false" outlineLevel="0" collapsed="false">
      <c r="A43" s="6" t="s">
        <v>94</v>
      </c>
      <c r="B43" s="6" t="s">
        <v>479</v>
      </c>
      <c r="C43" s="6" t="n">
        <f aca="false">SUMIFS(exercises_master!$H:$H,exercises_master!$N:$N,$A43,exercises_master!$P:$P,$B43)</f>
        <v>6</v>
      </c>
      <c r="D43" s="6" t="n">
        <f aca="false">IFERROR(INDEX(splits_overview!$H:$H,MATCH($A43,splits_overview!$A:$A,0)),1)</f>
        <v>1</v>
      </c>
      <c r="E43" s="6" t="n">
        <f aca="false">ROUND($C43*$D43,1)</f>
        <v>6</v>
      </c>
      <c r="F43" s="8" t="n">
        <v>4</v>
      </c>
      <c r="G43" s="8" t="n">
        <v>16</v>
      </c>
      <c r="H43" s="7" t="str">
        <f aca="false">IF($E43=0,"Not directly trained",IF($E43&lt;$F43,"Below MEV - add sets or rely on indirect work",IF($E43&lt;=$G43,"Within MEV-MAV productive range","Above MAV - monitor recovery")))</f>
        <v>Within MEV-MAV productive range</v>
      </c>
    </row>
    <row r="44" customFormat="false" ht="15" hidden="false" customHeight="false" outlineLevel="0" collapsed="false">
      <c r="A44" s="6" t="s">
        <v>94</v>
      </c>
      <c r="B44" s="6" t="s">
        <v>410</v>
      </c>
      <c r="C44" s="6" t="n">
        <f aca="false">SUMIFS(exercises_master!$H:$H,exercises_master!$N:$N,$A44,exercises_master!$P:$P,$B44)</f>
        <v>0</v>
      </c>
      <c r="D44" s="6" t="n">
        <f aca="false">IFERROR(INDEX(splits_overview!$H:$H,MATCH($A44,splits_overview!$A:$A,0)),1)</f>
        <v>1</v>
      </c>
      <c r="E44" s="6" t="n">
        <f aca="false">ROUND($C44*$D44,1)</f>
        <v>0</v>
      </c>
      <c r="F44" s="8" t="n">
        <v>8</v>
      </c>
      <c r="G44" s="8" t="n">
        <v>20</v>
      </c>
      <c r="H44" s="7" t="str">
        <f aca="false">IF($E44=0,"Not directly trained",IF($E44&lt;$F44,"Below MEV - add sets or rely on indirect work",IF($E44&lt;=$G44,"Within MEV-MAV productive range","Above MAV - monitor recovery")))</f>
        <v>Not directly trained</v>
      </c>
    </row>
    <row r="45" customFormat="false" ht="15" hidden="false" customHeight="false" outlineLevel="0" collapsed="false">
      <c r="A45" s="6" t="s">
        <v>94</v>
      </c>
      <c r="B45" s="6" t="s">
        <v>503</v>
      </c>
      <c r="C45" s="6" t="n">
        <f aca="false">SUMIFS(exercises_master!$H:$H,exercises_master!$N:$N,$A45,exercises_master!$P:$P,$B45)</f>
        <v>3</v>
      </c>
      <c r="D45" s="6" t="n">
        <f aca="false">IFERROR(INDEX(splits_overview!$H:$H,MATCH($A45,splits_overview!$A:$A,0)),1)</f>
        <v>1</v>
      </c>
      <c r="E45" s="6" t="n">
        <f aca="false">ROUND($C45*$D45,1)</f>
        <v>3</v>
      </c>
      <c r="F45" s="8" t="n">
        <v>6</v>
      </c>
      <c r="G45" s="8" t="n">
        <v>20</v>
      </c>
      <c r="H45" s="7" t="str">
        <f aca="false">IF($E45=0,"Not directly trained",IF($E45&lt;$F45,"Below MEV - add sets or rely on indirect work",IF($E45&lt;=$G45,"Within MEV-MAV productive range","Above MAV - monitor recovery")))</f>
        <v>Below MEV - add sets or rely on indirect work</v>
      </c>
    </row>
    <row r="46" customFormat="false" ht="15" hidden="false" customHeight="false" outlineLevel="0" collapsed="false">
      <c r="A46" s="6" t="s">
        <v>99</v>
      </c>
      <c r="B46" s="6" t="s">
        <v>273</v>
      </c>
      <c r="C46" s="6" t="n">
        <f aca="false">SUMIFS(exercises_master!$H:$H,exercises_master!$N:$N,$A46,exercises_master!$P:$P,$B46)</f>
        <v>8</v>
      </c>
      <c r="D46" s="6" t="n">
        <f aca="false">IFERROR(INDEX(splits_overview!$H:$H,MATCH($A46,splits_overview!$A:$A,0)),1)</f>
        <v>1</v>
      </c>
      <c r="E46" s="6" t="n">
        <f aca="false">ROUND($C46*$D46,1)</f>
        <v>8</v>
      </c>
      <c r="F46" s="8" t="n">
        <v>8</v>
      </c>
      <c r="G46" s="8" t="n">
        <v>20</v>
      </c>
      <c r="H46" s="7" t="str">
        <f aca="false">IF($E46=0,"Not directly trained",IF($E46&lt;$F46,"Below MEV - add sets or rely on indirect work",IF($E46&lt;=$G46,"Within MEV-MAV productive range","Above MAV - monitor recovery")))</f>
        <v>Within MEV-MAV productive range</v>
      </c>
    </row>
    <row r="47" customFormat="false" ht="15" hidden="false" customHeight="false" outlineLevel="0" collapsed="false">
      <c r="A47" s="6" t="s">
        <v>99</v>
      </c>
      <c r="B47" s="6" t="s">
        <v>328</v>
      </c>
      <c r="C47" s="6" t="n">
        <f aca="false">SUMIFS(exercises_master!$H:$H,exercises_master!$N:$N,$A47,exercises_master!$P:$P,$B47)</f>
        <v>11</v>
      </c>
      <c r="D47" s="6" t="n">
        <f aca="false">IFERROR(INDEX(splits_overview!$H:$H,MATCH($A47,splits_overview!$A:$A,0)),1)</f>
        <v>1</v>
      </c>
      <c r="E47" s="6" t="n">
        <f aca="false">ROUND($C47*$D47,1)</f>
        <v>11</v>
      </c>
      <c r="F47" s="8" t="n">
        <v>10</v>
      </c>
      <c r="G47" s="8" t="n">
        <v>25</v>
      </c>
      <c r="H47" s="7" t="str">
        <f aca="false">IF($E47=0,"Not directly trained",IF($E47&lt;$F47,"Below MEV - add sets or rely on indirect work",IF($E47&lt;=$G47,"Within MEV-MAV productive range","Above MAV - monitor recovery")))</f>
        <v>Within MEV-MAV productive range</v>
      </c>
    </row>
    <row r="48" customFormat="false" ht="15" hidden="false" customHeight="false" outlineLevel="0" collapsed="false">
      <c r="A48" s="6" t="s">
        <v>99</v>
      </c>
      <c r="B48" s="6" t="s">
        <v>287</v>
      </c>
      <c r="C48" s="6" t="n">
        <f aca="false">SUMIFS(exercises_master!$H:$H,exercises_master!$N:$N,$A48,exercises_master!$P:$P,$B48)</f>
        <v>9</v>
      </c>
      <c r="D48" s="6" t="n">
        <f aca="false">IFERROR(INDEX(splits_overview!$H:$H,MATCH($A48,splits_overview!$A:$A,0)),1)</f>
        <v>1</v>
      </c>
      <c r="E48" s="6" t="n">
        <f aca="false">ROUND($C48*$D48,1)</f>
        <v>9</v>
      </c>
      <c r="F48" s="8" t="n">
        <v>8</v>
      </c>
      <c r="G48" s="8" t="n">
        <v>26</v>
      </c>
      <c r="H48" s="7" t="str">
        <f aca="false">IF($E48=0,"Not directly trained",IF($E48&lt;$F48,"Below MEV - add sets or rely on indirect work",IF($E48&lt;=$G48,"Within MEV-MAV productive range","Above MAV - monitor recovery")))</f>
        <v>Within MEV-MAV productive range</v>
      </c>
    </row>
    <row r="49" customFormat="false" ht="15" hidden="false" customHeight="false" outlineLevel="0" collapsed="false">
      <c r="A49" s="6" t="s">
        <v>99</v>
      </c>
      <c r="B49" s="6" t="s">
        <v>458</v>
      </c>
      <c r="C49" s="6" t="n">
        <f aca="false">SUMIFS(exercises_master!$H:$H,exercises_master!$N:$N,$A49,exercises_master!$P:$P,$B49)</f>
        <v>0</v>
      </c>
      <c r="D49" s="6" t="n">
        <f aca="false">IFERROR(INDEX(splits_overview!$H:$H,MATCH($A49,splits_overview!$A:$A,0)),1)</f>
        <v>1</v>
      </c>
      <c r="E49" s="6" t="n">
        <f aca="false">ROUND($C49*$D49,1)</f>
        <v>0</v>
      </c>
      <c r="F49" s="8" t="n">
        <v>4</v>
      </c>
      <c r="G49" s="8" t="n">
        <v>16</v>
      </c>
      <c r="H49" s="7" t="str">
        <f aca="false">IF($E49=0,"Not directly trained",IF($E49&lt;$F49,"Below MEV - add sets or rely on indirect work",IF($E49&lt;=$G49,"Within MEV-MAV productive range","Above MAV - monitor recovery")))</f>
        <v>Not directly trained</v>
      </c>
    </row>
    <row r="50" customFormat="false" ht="15" hidden="false" customHeight="false" outlineLevel="0" collapsed="false">
      <c r="A50" s="6" t="s">
        <v>99</v>
      </c>
      <c r="B50" s="6" t="s">
        <v>362</v>
      </c>
      <c r="C50" s="6" t="n">
        <f aca="false">SUMIFS(exercises_master!$H:$H,exercises_master!$N:$N,$A50,exercises_master!$P:$P,$B50)</f>
        <v>5</v>
      </c>
      <c r="D50" s="6" t="n">
        <f aca="false">IFERROR(INDEX(splits_overview!$H:$H,MATCH($A50,splits_overview!$A:$A,0)),1)</f>
        <v>1</v>
      </c>
      <c r="E50" s="6" t="n">
        <f aca="false">ROUND($C50*$D50,1)</f>
        <v>5</v>
      </c>
      <c r="F50" s="8" t="n">
        <v>8</v>
      </c>
      <c r="G50" s="8" t="n">
        <v>20</v>
      </c>
      <c r="H50" s="7" t="str">
        <f aca="false">IF($E50=0,"Not directly trained",IF($E50&lt;$F50,"Below MEV - add sets or rely on indirect work",IF($E50&lt;=$G50,"Within MEV-MAV productive range","Above MAV - monitor recovery")))</f>
        <v>Below MEV - add sets or rely on indirect work</v>
      </c>
    </row>
    <row r="51" customFormat="false" ht="15" hidden="false" customHeight="false" outlineLevel="0" collapsed="false">
      <c r="A51" s="6" t="s">
        <v>99</v>
      </c>
      <c r="B51" s="6" t="s">
        <v>313</v>
      </c>
      <c r="C51" s="6" t="n">
        <f aca="false">SUMIFS(exercises_master!$H:$H,exercises_master!$N:$N,$A51,exercises_master!$P:$P,$B51)</f>
        <v>3</v>
      </c>
      <c r="D51" s="6" t="n">
        <f aca="false">IFERROR(INDEX(splits_overview!$H:$H,MATCH($A51,splits_overview!$A:$A,0)),1)</f>
        <v>1</v>
      </c>
      <c r="E51" s="6" t="n">
        <f aca="false">ROUND($C51*$D51,1)</f>
        <v>3</v>
      </c>
      <c r="F51" s="8" t="n">
        <v>6</v>
      </c>
      <c r="G51" s="8" t="n">
        <v>18</v>
      </c>
      <c r="H51" s="7" t="str">
        <f aca="false">IF($E51=0,"Not directly trained",IF($E51&lt;$F51,"Below MEV - add sets or rely on indirect work",IF($E51&lt;=$G51,"Within MEV-MAV productive range","Above MAV - monitor recovery")))</f>
        <v>Below MEV - add sets or rely on indirect work</v>
      </c>
    </row>
    <row r="52" customFormat="false" ht="15" hidden="false" customHeight="false" outlineLevel="0" collapsed="false">
      <c r="A52" s="6" t="s">
        <v>99</v>
      </c>
      <c r="B52" s="6" t="s">
        <v>376</v>
      </c>
      <c r="C52" s="6" t="n">
        <f aca="false">SUMIFS(exercises_master!$H:$H,exercises_master!$N:$N,$A52,exercises_master!$P:$P,$B52)</f>
        <v>11</v>
      </c>
      <c r="D52" s="6" t="n">
        <f aca="false">IFERROR(INDEX(splits_overview!$H:$H,MATCH($A52,splits_overview!$A:$A,0)),1)</f>
        <v>1</v>
      </c>
      <c r="E52" s="6" t="n">
        <f aca="false">ROUND($C52*$D52,1)</f>
        <v>11</v>
      </c>
      <c r="F52" s="8" t="n">
        <v>8</v>
      </c>
      <c r="G52" s="8" t="n">
        <v>20</v>
      </c>
      <c r="H52" s="7" t="str">
        <f aca="false">IF($E52=0,"Not directly trained",IF($E52&lt;$F52,"Below MEV - add sets or rely on indirect work",IF($E52&lt;=$G52,"Within MEV-MAV productive range","Above MAV - monitor recovery")))</f>
        <v>Within MEV-MAV productive range</v>
      </c>
    </row>
    <row r="53" customFormat="false" ht="15" hidden="false" customHeight="false" outlineLevel="0" collapsed="false">
      <c r="A53" s="6" t="s">
        <v>99</v>
      </c>
      <c r="B53" s="6" t="s">
        <v>385</v>
      </c>
      <c r="C53" s="6" t="n">
        <f aca="false">SUMIFS(exercises_master!$H:$H,exercises_master!$N:$N,$A53,exercises_master!$P:$P,$B53)</f>
        <v>10</v>
      </c>
      <c r="D53" s="6" t="n">
        <f aca="false">IFERROR(INDEX(splits_overview!$H:$H,MATCH($A53,splits_overview!$A:$A,0)),1)</f>
        <v>1</v>
      </c>
      <c r="E53" s="6" t="n">
        <f aca="false">ROUND($C53*$D53,1)</f>
        <v>10</v>
      </c>
      <c r="F53" s="8" t="n">
        <v>6</v>
      </c>
      <c r="G53" s="8" t="n">
        <v>16</v>
      </c>
      <c r="H53" s="7" t="str">
        <f aca="false">IF($E53=0,"Not directly trained",IF($E53&lt;$F53,"Below MEV - add sets or rely on indirect work",IF($E53&lt;=$G53,"Within MEV-MAV productive range","Above MAV - monitor recovery")))</f>
        <v>Within MEV-MAV productive range</v>
      </c>
    </row>
    <row r="54" customFormat="false" ht="15" hidden="false" customHeight="false" outlineLevel="0" collapsed="false">
      <c r="A54" s="6" t="s">
        <v>99</v>
      </c>
      <c r="B54" s="6" t="s">
        <v>479</v>
      </c>
      <c r="C54" s="6" t="n">
        <f aca="false">SUMIFS(exercises_master!$H:$H,exercises_master!$N:$N,$A54,exercises_master!$P:$P,$B54)</f>
        <v>3</v>
      </c>
      <c r="D54" s="6" t="n">
        <f aca="false">IFERROR(INDEX(splits_overview!$H:$H,MATCH($A54,splits_overview!$A:$A,0)),1)</f>
        <v>1</v>
      </c>
      <c r="E54" s="6" t="n">
        <f aca="false">ROUND($C54*$D54,1)</f>
        <v>3</v>
      </c>
      <c r="F54" s="8" t="n">
        <v>4</v>
      </c>
      <c r="G54" s="8" t="n">
        <v>16</v>
      </c>
      <c r="H54" s="7" t="str">
        <f aca="false">IF($E54=0,"Not directly trained",IF($E54&lt;$F54,"Below MEV - add sets or rely on indirect work",IF($E54&lt;=$G54,"Within MEV-MAV productive range","Above MAV - monitor recovery")))</f>
        <v>Below MEV - add sets or rely on indirect work</v>
      </c>
    </row>
    <row r="55" customFormat="false" ht="15" hidden="false" customHeight="false" outlineLevel="0" collapsed="false">
      <c r="A55" s="6" t="s">
        <v>99</v>
      </c>
      <c r="B55" s="6" t="s">
        <v>410</v>
      </c>
      <c r="C55" s="6" t="n">
        <f aca="false">SUMIFS(exercises_master!$H:$H,exercises_master!$N:$N,$A55,exercises_master!$P:$P,$B55)</f>
        <v>3</v>
      </c>
      <c r="D55" s="6" t="n">
        <f aca="false">IFERROR(INDEX(splits_overview!$H:$H,MATCH($A55,splits_overview!$A:$A,0)),1)</f>
        <v>1</v>
      </c>
      <c r="E55" s="6" t="n">
        <f aca="false">ROUND($C55*$D55,1)</f>
        <v>3</v>
      </c>
      <c r="F55" s="8" t="n">
        <v>8</v>
      </c>
      <c r="G55" s="8" t="n">
        <v>20</v>
      </c>
      <c r="H55" s="7" t="str">
        <f aca="false">IF($E55=0,"Not directly trained",IF($E55&lt;$F55,"Below MEV - add sets or rely on indirect work",IF($E55&lt;=$G55,"Within MEV-MAV productive range","Above MAV - monitor recovery")))</f>
        <v>Below MEV - add sets or rely on indirect work</v>
      </c>
    </row>
    <row r="56" customFormat="false" ht="15" hidden="false" customHeight="false" outlineLevel="0" collapsed="false">
      <c r="A56" s="6" t="s">
        <v>99</v>
      </c>
      <c r="B56" s="6" t="s">
        <v>503</v>
      </c>
      <c r="C56" s="6" t="n">
        <f aca="false">SUMIFS(exercises_master!$H:$H,exercises_master!$N:$N,$A56,exercises_master!$P:$P,$B56)</f>
        <v>6</v>
      </c>
      <c r="D56" s="6" t="n">
        <f aca="false">IFERROR(INDEX(splits_overview!$H:$H,MATCH($A56,splits_overview!$A:$A,0)),1)</f>
        <v>1</v>
      </c>
      <c r="E56" s="6" t="n">
        <f aca="false">ROUND($C56*$D56,1)</f>
        <v>6</v>
      </c>
      <c r="F56" s="8" t="n">
        <v>6</v>
      </c>
      <c r="G56" s="8" t="n">
        <v>20</v>
      </c>
      <c r="H56" s="7" t="str">
        <f aca="false">IF($E56=0,"Not directly trained",IF($E56&lt;$F56,"Below MEV - add sets or rely on indirect work",IF($E56&lt;=$G56,"Within MEV-MAV productive range","Above MAV - monitor recovery")))</f>
        <v>Within MEV-MAV productive range</v>
      </c>
    </row>
    <row r="57" customFormat="false" ht="15" hidden="false" customHeight="false" outlineLevel="0" collapsed="false">
      <c r="A57" s="6" t="s">
        <v>105</v>
      </c>
      <c r="B57" s="6" t="s">
        <v>273</v>
      </c>
      <c r="C57" s="6" t="n">
        <f aca="false">SUMIFS(exercises_master!$H:$H,exercises_master!$N:$N,$A57,exercises_master!$P:$P,$B57)</f>
        <v>17</v>
      </c>
      <c r="D57" s="6" t="n">
        <f aca="false">IFERROR(INDEX(splits_overview!$H:$H,MATCH($A57,splits_overview!$A:$A,0)),1)</f>
        <v>1</v>
      </c>
      <c r="E57" s="6" t="n">
        <f aca="false">ROUND($C57*$D57,1)</f>
        <v>17</v>
      </c>
      <c r="F57" s="8" t="n">
        <v>8</v>
      </c>
      <c r="G57" s="8" t="n">
        <v>20</v>
      </c>
      <c r="H57" s="7" t="str">
        <f aca="false">IF($E57=0,"Not directly trained",IF($E57&lt;$F57,"Below MEV - add sets or rely on indirect work",IF($E57&lt;=$G57,"Within MEV-MAV productive range","Above MAV - monitor recovery")))</f>
        <v>Within MEV-MAV productive range</v>
      </c>
    </row>
    <row r="58" customFormat="false" ht="15" hidden="false" customHeight="false" outlineLevel="0" collapsed="false">
      <c r="A58" s="6" t="s">
        <v>105</v>
      </c>
      <c r="B58" s="6" t="s">
        <v>328</v>
      </c>
      <c r="C58" s="6" t="n">
        <f aca="false">SUMIFS(exercises_master!$H:$H,exercises_master!$N:$N,$A58,exercises_master!$P:$P,$B58)</f>
        <v>18</v>
      </c>
      <c r="D58" s="6" t="n">
        <f aca="false">IFERROR(INDEX(splits_overview!$H:$H,MATCH($A58,splits_overview!$A:$A,0)),1)</f>
        <v>1</v>
      </c>
      <c r="E58" s="6" t="n">
        <f aca="false">ROUND($C58*$D58,1)</f>
        <v>18</v>
      </c>
      <c r="F58" s="8" t="n">
        <v>10</v>
      </c>
      <c r="G58" s="8" t="n">
        <v>25</v>
      </c>
      <c r="H58" s="7" t="str">
        <f aca="false">IF($E58=0,"Not directly trained",IF($E58&lt;$F58,"Below MEV - add sets or rely on indirect work",IF($E58&lt;=$G58,"Within MEV-MAV productive range","Above MAV - monitor recovery")))</f>
        <v>Within MEV-MAV productive range</v>
      </c>
    </row>
    <row r="59" customFormat="false" ht="15" hidden="false" customHeight="false" outlineLevel="0" collapsed="false">
      <c r="A59" s="6" t="s">
        <v>105</v>
      </c>
      <c r="B59" s="6" t="s">
        <v>287</v>
      </c>
      <c r="C59" s="6" t="n">
        <f aca="false">SUMIFS(exercises_master!$H:$H,exercises_master!$N:$N,$A59,exercises_master!$P:$P,$B59)</f>
        <v>14</v>
      </c>
      <c r="D59" s="6" t="n">
        <f aca="false">IFERROR(INDEX(splits_overview!$H:$H,MATCH($A59,splits_overview!$A:$A,0)),1)</f>
        <v>1</v>
      </c>
      <c r="E59" s="6" t="n">
        <f aca="false">ROUND($C59*$D59,1)</f>
        <v>14</v>
      </c>
      <c r="F59" s="8" t="n">
        <v>8</v>
      </c>
      <c r="G59" s="8" t="n">
        <v>26</v>
      </c>
      <c r="H59" s="7" t="str">
        <f aca="false">IF($E59=0,"Not directly trained",IF($E59&lt;$F59,"Below MEV - add sets or rely on indirect work",IF($E59&lt;=$G59,"Within MEV-MAV productive range","Above MAV - monitor recovery")))</f>
        <v>Within MEV-MAV productive range</v>
      </c>
    </row>
    <row r="60" customFormat="false" ht="15" hidden="false" customHeight="false" outlineLevel="0" collapsed="false">
      <c r="A60" s="6" t="s">
        <v>105</v>
      </c>
      <c r="B60" s="6" t="s">
        <v>458</v>
      </c>
      <c r="C60" s="6" t="n">
        <f aca="false">SUMIFS(exercises_master!$H:$H,exercises_master!$N:$N,$A60,exercises_master!$P:$P,$B60)</f>
        <v>0</v>
      </c>
      <c r="D60" s="6" t="n">
        <f aca="false">IFERROR(INDEX(splits_overview!$H:$H,MATCH($A60,splits_overview!$A:$A,0)),1)</f>
        <v>1</v>
      </c>
      <c r="E60" s="6" t="n">
        <f aca="false">ROUND($C60*$D60,1)</f>
        <v>0</v>
      </c>
      <c r="F60" s="8" t="n">
        <v>4</v>
      </c>
      <c r="G60" s="8" t="n">
        <v>16</v>
      </c>
      <c r="H60" s="7" t="str">
        <f aca="false">IF($E60=0,"Not directly trained",IF($E60&lt;$F60,"Below MEV - add sets or rely on indirect work",IF($E60&lt;=$G60,"Within MEV-MAV productive range","Above MAV - monitor recovery")))</f>
        <v>Not directly trained</v>
      </c>
    </row>
    <row r="61" customFormat="false" ht="15" hidden="false" customHeight="false" outlineLevel="0" collapsed="false">
      <c r="A61" s="6" t="s">
        <v>105</v>
      </c>
      <c r="B61" s="6" t="s">
        <v>362</v>
      </c>
      <c r="C61" s="6" t="n">
        <f aca="false">SUMIFS(exercises_master!$H:$H,exercises_master!$N:$N,$A61,exercises_master!$P:$P,$B61)</f>
        <v>9</v>
      </c>
      <c r="D61" s="6" t="n">
        <f aca="false">IFERROR(INDEX(splits_overview!$H:$H,MATCH($A61,splits_overview!$A:$A,0)),1)</f>
        <v>1</v>
      </c>
      <c r="E61" s="6" t="n">
        <f aca="false">ROUND($C61*$D61,1)</f>
        <v>9</v>
      </c>
      <c r="F61" s="8" t="n">
        <v>8</v>
      </c>
      <c r="G61" s="8" t="n">
        <v>20</v>
      </c>
      <c r="H61" s="7" t="str">
        <f aca="false">IF($E61=0,"Not directly trained",IF($E61&lt;$F61,"Below MEV - add sets or rely on indirect work",IF($E61&lt;=$G61,"Within MEV-MAV productive range","Above MAV - monitor recovery")))</f>
        <v>Within MEV-MAV productive range</v>
      </c>
    </row>
    <row r="62" customFormat="false" ht="15" hidden="false" customHeight="false" outlineLevel="0" collapsed="false">
      <c r="A62" s="6" t="s">
        <v>105</v>
      </c>
      <c r="B62" s="6" t="s">
        <v>313</v>
      </c>
      <c r="C62" s="6" t="n">
        <f aca="false">SUMIFS(exercises_master!$H:$H,exercises_master!$N:$N,$A62,exercises_master!$P:$P,$B62)</f>
        <v>6</v>
      </c>
      <c r="D62" s="6" t="n">
        <f aca="false">IFERROR(INDEX(splits_overview!$H:$H,MATCH($A62,splits_overview!$A:$A,0)),1)</f>
        <v>1</v>
      </c>
      <c r="E62" s="6" t="n">
        <f aca="false">ROUND($C62*$D62,1)</f>
        <v>6</v>
      </c>
      <c r="F62" s="8" t="n">
        <v>6</v>
      </c>
      <c r="G62" s="8" t="n">
        <v>18</v>
      </c>
      <c r="H62" s="7" t="str">
        <f aca="false">IF($E62=0,"Not directly trained",IF($E62&lt;$F62,"Below MEV - add sets or rely on indirect work",IF($E62&lt;=$G62,"Within MEV-MAV productive range","Above MAV - monitor recovery")))</f>
        <v>Within MEV-MAV productive range</v>
      </c>
    </row>
    <row r="63" customFormat="false" ht="15" hidden="false" customHeight="false" outlineLevel="0" collapsed="false">
      <c r="A63" s="6" t="s">
        <v>105</v>
      </c>
      <c r="B63" s="6" t="s">
        <v>376</v>
      </c>
      <c r="C63" s="6" t="n">
        <f aca="false">SUMIFS(exercises_master!$H:$H,exercises_master!$N:$N,$A63,exercises_master!$P:$P,$B63)</f>
        <v>17</v>
      </c>
      <c r="D63" s="6" t="n">
        <f aca="false">IFERROR(INDEX(splits_overview!$H:$H,MATCH($A63,splits_overview!$A:$A,0)),1)</f>
        <v>1</v>
      </c>
      <c r="E63" s="6" t="n">
        <f aca="false">ROUND($C63*$D63,1)</f>
        <v>17</v>
      </c>
      <c r="F63" s="8" t="n">
        <v>8</v>
      </c>
      <c r="G63" s="8" t="n">
        <v>20</v>
      </c>
      <c r="H63" s="7" t="str">
        <f aca="false">IF($E63=0,"Not directly trained",IF($E63&lt;$F63,"Below MEV - add sets or rely on indirect work",IF($E63&lt;=$G63,"Within MEV-MAV productive range","Above MAV - monitor recovery")))</f>
        <v>Within MEV-MAV productive range</v>
      </c>
    </row>
    <row r="64" customFormat="false" ht="15" hidden="false" customHeight="false" outlineLevel="0" collapsed="false">
      <c r="A64" s="6" t="s">
        <v>105</v>
      </c>
      <c r="B64" s="6" t="s">
        <v>385</v>
      </c>
      <c r="C64" s="6" t="n">
        <f aca="false">SUMIFS(exercises_master!$H:$H,exercises_master!$N:$N,$A64,exercises_master!$P:$P,$B64)</f>
        <v>9</v>
      </c>
      <c r="D64" s="6" t="n">
        <f aca="false">IFERROR(INDEX(splits_overview!$H:$H,MATCH($A64,splits_overview!$A:$A,0)),1)</f>
        <v>1</v>
      </c>
      <c r="E64" s="6" t="n">
        <f aca="false">ROUND($C64*$D64,1)</f>
        <v>9</v>
      </c>
      <c r="F64" s="8" t="n">
        <v>6</v>
      </c>
      <c r="G64" s="8" t="n">
        <v>16</v>
      </c>
      <c r="H64" s="7" t="str">
        <f aca="false">IF($E64=0,"Not directly trained",IF($E64&lt;$F64,"Below MEV - add sets or rely on indirect work",IF($E64&lt;=$G64,"Within MEV-MAV productive range","Above MAV - monitor recovery")))</f>
        <v>Within MEV-MAV productive range</v>
      </c>
    </row>
    <row r="65" customFormat="false" ht="15" hidden="false" customHeight="false" outlineLevel="0" collapsed="false">
      <c r="A65" s="6" t="s">
        <v>105</v>
      </c>
      <c r="B65" s="6" t="s">
        <v>479</v>
      </c>
      <c r="C65" s="6" t="n">
        <f aca="false">SUMIFS(exercises_master!$H:$H,exercises_master!$N:$N,$A65,exercises_master!$P:$P,$B65)</f>
        <v>4</v>
      </c>
      <c r="D65" s="6" t="n">
        <f aca="false">IFERROR(INDEX(splits_overview!$H:$H,MATCH($A65,splits_overview!$A:$A,0)),1)</f>
        <v>1</v>
      </c>
      <c r="E65" s="6" t="n">
        <f aca="false">ROUND($C65*$D65,1)</f>
        <v>4</v>
      </c>
      <c r="F65" s="8" t="n">
        <v>4</v>
      </c>
      <c r="G65" s="8" t="n">
        <v>16</v>
      </c>
      <c r="H65" s="7" t="str">
        <f aca="false">IF($E65=0,"Not directly trained",IF($E65&lt;$F65,"Below MEV - add sets or rely on indirect work",IF($E65&lt;=$G65,"Within MEV-MAV productive range","Above MAV - monitor recovery")))</f>
        <v>Within MEV-MAV productive range</v>
      </c>
    </row>
    <row r="66" customFormat="false" ht="15" hidden="false" customHeight="false" outlineLevel="0" collapsed="false">
      <c r="A66" s="6" t="s">
        <v>105</v>
      </c>
      <c r="B66" s="6" t="s">
        <v>410</v>
      </c>
      <c r="C66" s="6" t="n">
        <f aca="false">SUMIFS(exercises_master!$H:$H,exercises_master!$N:$N,$A66,exercises_master!$P:$P,$B66)</f>
        <v>8</v>
      </c>
      <c r="D66" s="6" t="n">
        <f aca="false">IFERROR(INDEX(splits_overview!$H:$H,MATCH($A66,splits_overview!$A:$A,0)),1)</f>
        <v>1</v>
      </c>
      <c r="E66" s="6" t="n">
        <f aca="false">ROUND($C66*$D66,1)</f>
        <v>8</v>
      </c>
      <c r="F66" s="8" t="n">
        <v>8</v>
      </c>
      <c r="G66" s="8" t="n">
        <v>20</v>
      </c>
      <c r="H66" s="7" t="str">
        <f aca="false">IF($E66=0,"Not directly trained",IF($E66&lt;$F66,"Below MEV - add sets or rely on indirect work",IF($E66&lt;=$G66,"Within MEV-MAV productive range","Above MAV - monitor recovery")))</f>
        <v>Within MEV-MAV productive range</v>
      </c>
    </row>
    <row r="67" customFormat="false" ht="15" hidden="false" customHeight="false" outlineLevel="0" collapsed="false">
      <c r="A67" s="6" t="s">
        <v>105</v>
      </c>
      <c r="B67" s="6" t="s">
        <v>503</v>
      </c>
      <c r="C67" s="6" t="n">
        <f aca="false">SUMIFS(exercises_master!$H:$H,exercises_master!$N:$N,$A67,exercises_master!$P:$P,$B67)</f>
        <v>3</v>
      </c>
      <c r="D67" s="6" t="n">
        <f aca="false">IFERROR(INDEX(splits_overview!$H:$H,MATCH($A67,splits_overview!$A:$A,0)),1)</f>
        <v>1</v>
      </c>
      <c r="E67" s="6" t="n">
        <f aca="false">ROUND($C67*$D67,1)</f>
        <v>3</v>
      </c>
      <c r="F67" s="8" t="n">
        <v>6</v>
      </c>
      <c r="G67" s="8" t="n">
        <v>20</v>
      </c>
      <c r="H67" s="7" t="str">
        <f aca="false">IF($E67=0,"Not directly trained",IF($E67&lt;$F67,"Below MEV - add sets or rely on indirect work",IF($E67&lt;=$G67,"Within MEV-MAV productive range","Above MAV - monitor recovery")))</f>
        <v>Below MEV - add sets or rely on indirect work</v>
      </c>
    </row>
    <row r="68" customFormat="false" ht="15" hidden="false" customHeight="false" outlineLevel="0" collapsed="false">
      <c r="A68" s="6" t="s">
        <v>110</v>
      </c>
      <c r="B68" s="6" t="s">
        <v>273</v>
      </c>
      <c r="C68" s="6" t="n">
        <f aca="false">SUMIFS(exercises_master!$H:$H,exercises_master!$N:$N,$A68,exercises_master!$P:$P,$B68)</f>
        <v>13</v>
      </c>
      <c r="D68" s="6" t="n">
        <f aca="false">IFERROR(INDEX(splits_overview!$H:$H,MATCH($A68,splits_overview!$A:$A,0)),1)</f>
        <v>1</v>
      </c>
      <c r="E68" s="6" t="n">
        <f aca="false">ROUND($C68*$D68,1)</f>
        <v>13</v>
      </c>
      <c r="F68" s="8" t="n">
        <v>8</v>
      </c>
      <c r="G68" s="8" t="n">
        <v>20</v>
      </c>
      <c r="H68" s="7" t="str">
        <f aca="false">IF($E68=0,"Not directly trained",IF($E68&lt;$F68,"Below MEV - add sets or rely on indirect work",IF($E68&lt;=$G68,"Within MEV-MAV productive range","Above MAV - monitor recovery")))</f>
        <v>Within MEV-MAV productive range</v>
      </c>
    </row>
    <row r="69" customFormat="false" ht="15" hidden="false" customHeight="false" outlineLevel="0" collapsed="false">
      <c r="A69" s="6" t="s">
        <v>110</v>
      </c>
      <c r="B69" s="6" t="s">
        <v>328</v>
      </c>
      <c r="C69" s="6" t="n">
        <f aca="false">SUMIFS(exercises_master!$H:$H,exercises_master!$N:$N,$A69,exercises_master!$P:$P,$B69)</f>
        <v>18</v>
      </c>
      <c r="D69" s="6" t="n">
        <f aca="false">IFERROR(INDEX(splits_overview!$H:$H,MATCH($A69,splits_overview!$A:$A,0)),1)</f>
        <v>1</v>
      </c>
      <c r="E69" s="6" t="n">
        <f aca="false">ROUND($C69*$D69,1)</f>
        <v>18</v>
      </c>
      <c r="F69" s="8" t="n">
        <v>10</v>
      </c>
      <c r="G69" s="8" t="n">
        <v>25</v>
      </c>
      <c r="H69" s="7" t="str">
        <f aca="false">IF($E69=0,"Not directly trained",IF($E69&lt;$F69,"Below MEV - add sets or rely on indirect work",IF($E69&lt;=$G69,"Within MEV-MAV productive range","Above MAV - monitor recovery")))</f>
        <v>Within MEV-MAV productive range</v>
      </c>
    </row>
    <row r="70" customFormat="false" ht="15" hidden="false" customHeight="false" outlineLevel="0" collapsed="false">
      <c r="A70" s="6" t="s">
        <v>110</v>
      </c>
      <c r="B70" s="6" t="s">
        <v>287</v>
      </c>
      <c r="C70" s="6" t="n">
        <f aca="false">SUMIFS(exercises_master!$H:$H,exercises_master!$N:$N,$A70,exercises_master!$P:$P,$B70)</f>
        <v>17</v>
      </c>
      <c r="D70" s="6" t="n">
        <f aca="false">IFERROR(INDEX(splits_overview!$H:$H,MATCH($A70,splits_overview!$A:$A,0)),1)</f>
        <v>1</v>
      </c>
      <c r="E70" s="6" t="n">
        <f aca="false">ROUND($C70*$D70,1)</f>
        <v>17</v>
      </c>
      <c r="F70" s="8" t="n">
        <v>8</v>
      </c>
      <c r="G70" s="8" t="n">
        <v>26</v>
      </c>
      <c r="H70" s="7" t="str">
        <f aca="false">IF($E70=0,"Not directly trained",IF($E70&lt;$F70,"Below MEV - add sets or rely on indirect work",IF($E70&lt;=$G70,"Within MEV-MAV productive range","Above MAV - monitor recovery")))</f>
        <v>Within MEV-MAV productive range</v>
      </c>
    </row>
    <row r="71" customFormat="false" ht="15" hidden="false" customHeight="false" outlineLevel="0" collapsed="false">
      <c r="A71" s="6" t="s">
        <v>110</v>
      </c>
      <c r="B71" s="6" t="s">
        <v>458</v>
      </c>
      <c r="C71" s="6" t="n">
        <f aca="false">SUMIFS(exercises_master!$H:$H,exercises_master!$N:$N,$A71,exercises_master!$P:$P,$B71)</f>
        <v>3</v>
      </c>
      <c r="D71" s="6" t="n">
        <f aca="false">IFERROR(INDEX(splits_overview!$H:$H,MATCH($A71,splits_overview!$A:$A,0)),1)</f>
        <v>1</v>
      </c>
      <c r="E71" s="6" t="n">
        <f aca="false">ROUND($C71*$D71,1)</f>
        <v>3</v>
      </c>
      <c r="F71" s="8" t="n">
        <v>4</v>
      </c>
      <c r="G71" s="8" t="n">
        <v>16</v>
      </c>
      <c r="H71" s="7" t="str">
        <f aca="false">IF($E71=0,"Not directly trained",IF($E71&lt;$F71,"Below MEV - add sets or rely on indirect work",IF($E71&lt;=$G71,"Within MEV-MAV productive range","Above MAV - monitor recovery")))</f>
        <v>Below MEV - add sets or rely on indirect work</v>
      </c>
    </row>
    <row r="72" customFormat="false" ht="15" hidden="false" customHeight="false" outlineLevel="0" collapsed="false">
      <c r="A72" s="6" t="s">
        <v>110</v>
      </c>
      <c r="B72" s="6" t="s">
        <v>362</v>
      </c>
      <c r="C72" s="6" t="n">
        <f aca="false">SUMIFS(exercises_master!$H:$H,exercises_master!$N:$N,$A72,exercises_master!$P:$P,$B72)</f>
        <v>6</v>
      </c>
      <c r="D72" s="6" t="n">
        <f aca="false">IFERROR(INDEX(splits_overview!$H:$H,MATCH($A72,splits_overview!$A:$A,0)),1)</f>
        <v>1</v>
      </c>
      <c r="E72" s="6" t="n">
        <f aca="false">ROUND($C72*$D72,1)</f>
        <v>6</v>
      </c>
      <c r="F72" s="8" t="n">
        <v>8</v>
      </c>
      <c r="G72" s="8" t="n">
        <v>20</v>
      </c>
      <c r="H72" s="7" t="str">
        <f aca="false">IF($E72=0,"Not directly trained",IF($E72&lt;$F72,"Below MEV - add sets or rely on indirect work",IF($E72&lt;=$G72,"Within MEV-MAV productive range","Above MAV - monitor recovery")))</f>
        <v>Below MEV - add sets or rely on indirect work</v>
      </c>
    </row>
    <row r="73" customFormat="false" ht="15" hidden="false" customHeight="false" outlineLevel="0" collapsed="false">
      <c r="A73" s="6" t="s">
        <v>110</v>
      </c>
      <c r="B73" s="6" t="s">
        <v>313</v>
      </c>
      <c r="C73" s="6" t="n">
        <f aca="false">SUMIFS(exercises_master!$H:$H,exercises_master!$N:$N,$A73,exercises_master!$P:$P,$B73)</f>
        <v>6</v>
      </c>
      <c r="D73" s="6" t="n">
        <f aca="false">IFERROR(INDEX(splits_overview!$H:$H,MATCH($A73,splits_overview!$A:$A,0)),1)</f>
        <v>1</v>
      </c>
      <c r="E73" s="6" t="n">
        <f aca="false">ROUND($C73*$D73,1)</f>
        <v>6</v>
      </c>
      <c r="F73" s="8" t="n">
        <v>6</v>
      </c>
      <c r="G73" s="8" t="n">
        <v>18</v>
      </c>
      <c r="H73" s="7" t="str">
        <f aca="false">IF($E73=0,"Not directly trained",IF($E73&lt;$F73,"Below MEV - add sets or rely on indirect work",IF($E73&lt;=$G73,"Within MEV-MAV productive range","Above MAV - monitor recovery")))</f>
        <v>Within MEV-MAV productive range</v>
      </c>
    </row>
    <row r="74" customFormat="false" ht="15" hidden="false" customHeight="false" outlineLevel="0" collapsed="false">
      <c r="A74" s="6" t="s">
        <v>110</v>
      </c>
      <c r="B74" s="6" t="s">
        <v>376</v>
      </c>
      <c r="C74" s="6" t="n">
        <f aca="false">SUMIFS(exercises_master!$H:$H,exercises_master!$N:$N,$A74,exercises_master!$P:$P,$B74)</f>
        <v>10</v>
      </c>
      <c r="D74" s="6" t="n">
        <f aca="false">IFERROR(INDEX(splits_overview!$H:$H,MATCH($A74,splits_overview!$A:$A,0)),1)</f>
        <v>1</v>
      </c>
      <c r="E74" s="6" t="n">
        <f aca="false">ROUND($C74*$D74,1)</f>
        <v>10</v>
      </c>
      <c r="F74" s="8" t="n">
        <v>8</v>
      </c>
      <c r="G74" s="8" t="n">
        <v>20</v>
      </c>
      <c r="H74" s="7" t="str">
        <f aca="false">IF($E74=0,"Not directly trained",IF($E74&lt;$F74,"Below MEV - add sets or rely on indirect work",IF($E74&lt;=$G74,"Within MEV-MAV productive range","Above MAV - monitor recovery")))</f>
        <v>Within MEV-MAV productive range</v>
      </c>
    </row>
    <row r="75" customFormat="false" ht="15" hidden="false" customHeight="false" outlineLevel="0" collapsed="false">
      <c r="A75" s="6" t="s">
        <v>110</v>
      </c>
      <c r="B75" s="6" t="s">
        <v>385</v>
      </c>
      <c r="C75" s="6" t="n">
        <f aca="false">SUMIFS(exercises_master!$H:$H,exercises_master!$N:$N,$A75,exercises_master!$P:$P,$B75)</f>
        <v>7</v>
      </c>
      <c r="D75" s="6" t="n">
        <f aca="false">IFERROR(INDEX(splits_overview!$H:$H,MATCH($A75,splits_overview!$A:$A,0)),1)</f>
        <v>1</v>
      </c>
      <c r="E75" s="6" t="n">
        <f aca="false">ROUND($C75*$D75,1)</f>
        <v>7</v>
      </c>
      <c r="F75" s="8" t="n">
        <v>6</v>
      </c>
      <c r="G75" s="8" t="n">
        <v>16</v>
      </c>
      <c r="H75" s="7" t="str">
        <f aca="false">IF($E75=0,"Not directly trained",IF($E75&lt;$F75,"Below MEV - add sets or rely on indirect work",IF($E75&lt;=$G75,"Within MEV-MAV productive range","Above MAV - monitor recovery")))</f>
        <v>Within MEV-MAV productive range</v>
      </c>
    </row>
    <row r="76" customFormat="false" ht="15" hidden="false" customHeight="false" outlineLevel="0" collapsed="false">
      <c r="A76" s="6" t="s">
        <v>110</v>
      </c>
      <c r="B76" s="6" t="s">
        <v>479</v>
      </c>
      <c r="C76" s="6" t="n">
        <f aca="false">SUMIFS(exercises_master!$H:$H,exercises_master!$N:$N,$A76,exercises_master!$P:$P,$B76)</f>
        <v>0</v>
      </c>
      <c r="D76" s="6" t="n">
        <f aca="false">IFERROR(INDEX(splits_overview!$H:$H,MATCH($A76,splits_overview!$A:$A,0)),1)</f>
        <v>1</v>
      </c>
      <c r="E76" s="6" t="n">
        <f aca="false">ROUND($C76*$D76,1)</f>
        <v>0</v>
      </c>
      <c r="F76" s="8" t="n">
        <v>4</v>
      </c>
      <c r="G76" s="8" t="n">
        <v>16</v>
      </c>
      <c r="H76" s="7" t="str">
        <f aca="false">IF($E76=0,"Not directly trained",IF($E76&lt;$F76,"Below MEV - add sets or rely on indirect work",IF($E76&lt;=$G76,"Within MEV-MAV productive range","Above MAV - monitor recovery")))</f>
        <v>Not directly trained</v>
      </c>
    </row>
    <row r="77" customFormat="false" ht="15" hidden="false" customHeight="false" outlineLevel="0" collapsed="false">
      <c r="A77" s="6" t="s">
        <v>110</v>
      </c>
      <c r="B77" s="6" t="s">
        <v>410</v>
      </c>
      <c r="C77" s="6" t="n">
        <f aca="false">SUMIFS(exercises_master!$H:$H,exercises_master!$N:$N,$A77,exercises_master!$P:$P,$B77)</f>
        <v>4</v>
      </c>
      <c r="D77" s="6" t="n">
        <f aca="false">IFERROR(INDEX(splits_overview!$H:$H,MATCH($A77,splits_overview!$A:$A,0)),1)</f>
        <v>1</v>
      </c>
      <c r="E77" s="6" t="n">
        <f aca="false">ROUND($C77*$D77,1)</f>
        <v>4</v>
      </c>
      <c r="F77" s="8" t="n">
        <v>8</v>
      </c>
      <c r="G77" s="8" t="n">
        <v>20</v>
      </c>
      <c r="H77" s="7" t="str">
        <f aca="false">IF($E77=0,"Not directly trained",IF($E77&lt;$F77,"Below MEV - add sets or rely on indirect work",IF($E77&lt;=$G77,"Within MEV-MAV productive range","Above MAV - monitor recovery")))</f>
        <v>Below MEV - add sets or rely on indirect work</v>
      </c>
    </row>
    <row r="78" customFormat="false" ht="15" hidden="false" customHeight="false" outlineLevel="0" collapsed="false">
      <c r="A78" s="6" t="s">
        <v>110</v>
      </c>
      <c r="B78" s="6" t="s">
        <v>503</v>
      </c>
      <c r="C78" s="6" t="n">
        <f aca="false">SUMIFS(exercises_master!$H:$H,exercises_master!$N:$N,$A78,exercises_master!$P:$P,$B78)</f>
        <v>3</v>
      </c>
      <c r="D78" s="6" t="n">
        <f aca="false">IFERROR(INDEX(splits_overview!$H:$H,MATCH($A78,splits_overview!$A:$A,0)),1)</f>
        <v>1</v>
      </c>
      <c r="E78" s="6" t="n">
        <f aca="false">ROUND($C78*$D78,1)</f>
        <v>3</v>
      </c>
      <c r="F78" s="8" t="n">
        <v>6</v>
      </c>
      <c r="G78" s="8" t="n">
        <v>20</v>
      </c>
      <c r="H78" s="7" t="str">
        <f aca="false">IF($E78=0,"Not directly trained",IF($E78&lt;$F78,"Below MEV - add sets or rely on indirect work",IF($E78&lt;=$G78,"Within MEV-MAV productive range","Above MAV - monitor recovery")))</f>
        <v>Below MEV - add sets or rely on indirect work</v>
      </c>
    </row>
    <row r="80" customFormat="false" ht="15" hidden="false" customHeight="false" outlineLevel="0" collapsed="false">
      <c r="A80" s="9" t="s">
        <v>624</v>
      </c>
    </row>
    <row r="81" customFormat="false" ht="15" hidden="false" customHeight="false" outlineLevel="0" collapsed="false">
      <c r="A81" s="9" t="s">
        <v>625</v>
      </c>
    </row>
    <row r="82" customFormat="false" ht="15" hidden="false" customHeight="false" outlineLevel="0" collapsed="false">
      <c r="A82" s="9" t="s">
        <v>626</v>
      </c>
    </row>
  </sheetData>
  <autoFilter ref="A1:H78"/>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45309"/>
    <pageSetUpPr fitToPage="false"/>
  </sheetPr>
  <dimension ref="A1:E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8"/>
    <col collapsed="false" customWidth="true" hidden="false" outlineLevel="0" max="2" min="2" style="0" width="20"/>
    <col collapsed="false" customWidth="true" hidden="false" outlineLevel="0" max="3" min="3" style="0" width="24"/>
    <col collapsed="false" customWidth="true" hidden="false" outlineLevel="0" max="4" min="4" style="0" width="21"/>
    <col collapsed="false" customWidth="true" hidden="false" outlineLevel="0" max="5" min="5" style="0" width="88"/>
  </cols>
  <sheetData>
    <row r="1" customFormat="false" ht="25.5" hidden="false" customHeight="true" outlineLevel="0" collapsed="false">
      <c r="A1" s="5" t="s">
        <v>258</v>
      </c>
      <c r="B1" s="5" t="s">
        <v>627</v>
      </c>
      <c r="C1" s="5" t="s">
        <v>628</v>
      </c>
      <c r="D1" s="5" t="s">
        <v>629</v>
      </c>
      <c r="E1" s="5" t="s">
        <v>630</v>
      </c>
    </row>
    <row r="2" customFormat="false" ht="33.75" hidden="false" customHeight="true" outlineLevel="0" collapsed="false">
      <c r="A2" s="6" t="s">
        <v>409</v>
      </c>
      <c r="B2" s="6" t="s">
        <v>631</v>
      </c>
      <c r="C2" s="6" t="s">
        <v>410</v>
      </c>
      <c r="D2" s="6" t="n">
        <v>2</v>
      </c>
      <c r="E2" s="7" t="s">
        <v>632</v>
      </c>
    </row>
    <row r="3" customFormat="false" ht="33.75" hidden="false" customHeight="true" outlineLevel="0" collapsed="false">
      <c r="A3" s="6" t="s">
        <v>527</v>
      </c>
      <c r="B3" s="6" t="s">
        <v>631</v>
      </c>
      <c r="C3" s="6" t="s">
        <v>503</v>
      </c>
      <c r="D3" s="6" t="n">
        <v>2</v>
      </c>
      <c r="E3" s="7" t="s">
        <v>633</v>
      </c>
    </row>
    <row r="4" customFormat="false" ht="33.75" hidden="false" customHeight="true" outlineLevel="0" collapsed="false">
      <c r="A4" s="6" t="s">
        <v>421</v>
      </c>
      <c r="B4" s="6" t="s">
        <v>634</v>
      </c>
      <c r="C4" s="6" t="s">
        <v>273</v>
      </c>
      <c r="D4" s="6" t="n">
        <v>1</v>
      </c>
      <c r="E4" s="7" t="s">
        <v>635</v>
      </c>
    </row>
    <row r="5" customFormat="false" ht="33.75" hidden="false" customHeight="true" outlineLevel="0" collapsed="false">
      <c r="A5" s="6" t="s">
        <v>438</v>
      </c>
      <c r="B5" s="6" t="s">
        <v>631</v>
      </c>
      <c r="C5" s="6" t="s">
        <v>313</v>
      </c>
      <c r="D5" s="6" t="n">
        <v>2</v>
      </c>
      <c r="E5" s="7" t="s">
        <v>636</v>
      </c>
    </row>
    <row r="6" customFormat="false" ht="33.75" hidden="false" customHeight="true" outlineLevel="0" collapsed="false">
      <c r="A6" s="6" t="s">
        <v>312</v>
      </c>
      <c r="B6" s="6" t="s">
        <v>631</v>
      </c>
      <c r="C6" s="6" t="s">
        <v>313</v>
      </c>
      <c r="D6" s="6" t="n">
        <v>1</v>
      </c>
      <c r="E6" s="7" t="s">
        <v>637</v>
      </c>
    </row>
    <row r="7" customFormat="false" ht="33.75" hidden="false" customHeight="true" outlineLevel="0" collapsed="false">
      <c r="A7" s="6" t="s">
        <v>520</v>
      </c>
      <c r="B7" s="6" t="s">
        <v>631</v>
      </c>
      <c r="C7" s="6" t="s">
        <v>362</v>
      </c>
      <c r="D7" s="6" t="n">
        <v>2</v>
      </c>
      <c r="E7" s="7" t="s">
        <v>638</v>
      </c>
    </row>
    <row r="8" customFormat="false" ht="33.75" hidden="false" customHeight="true" outlineLevel="0" collapsed="false">
      <c r="A8" s="6" t="s">
        <v>368</v>
      </c>
      <c r="B8" s="6" t="s">
        <v>631</v>
      </c>
      <c r="C8" s="6" t="s">
        <v>362</v>
      </c>
      <c r="D8" s="6" t="n">
        <v>2</v>
      </c>
      <c r="E8" s="7" t="s">
        <v>639</v>
      </c>
    </row>
    <row r="9" customFormat="false" ht="33.75" hidden="false" customHeight="true" outlineLevel="0" collapsed="false">
      <c r="A9" s="6" t="s">
        <v>463</v>
      </c>
      <c r="B9" s="6" t="s">
        <v>631</v>
      </c>
      <c r="C9" s="6" t="s">
        <v>362</v>
      </c>
      <c r="D9" s="6" t="n">
        <v>1</v>
      </c>
      <c r="E9" s="7" t="s">
        <v>640</v>
      </c>
    </row>
    <row r="10" customFormat="false" ht="33.75" hidden="false" customHeight="true" outlineLevel="0" collapsed="false">
      <c r="A10" s="6" t="s">
        <v>361</v>
      </c>
      <c r="B10" s="6" t="s">
        <v>631</v>
      </c>
      <c r="C10" s="6" t="s">
        <v>362</v>
      </c>
      <c r="D10" s="6" t="n">
        <v>1</v>
      </c>
      <c r="E10" s="7" t="s">
        <v>641</v>
      </c>
    </row>
    <row r="11" customFormat="false" ht="33.75" hidden="false" customHeight="true" outlineLevel="0" collapsed="false">
      <c r="A11" s="6" t="s">
        <v>478</v>
      </c>
      <c r="B11" s="6" t="s">
        <v>631</v>
      </c>
      <c r="C11" s="6" t="s">
        <v>479</v>
      </c>
      <c r="D11" s="6" t="n">
        <v>1</v>
      </c>
      <c r="E11" s="7" t="s">
        <v>642</v>
      </c>
    </row>
    <row r="12" customFormat="false" ht="33.75" hidden="false" customHeight="true" outlineLevel="0" collapsed="false">
      <c r="A12" s="6" t="s">
        <v>384</v>
      </c>
      <c r="B12" s="6" t="s">
        <v>631</v>
      </c>
      <c r="C12" s="6" t="s">
        <v>643</v>
      </c>
      <c r="D12" s="6" t="n">
        <v>4</v>
      </c>
      <c r="E12" s="7" t="s">
        <v>644</v>
      </c>
    </row>
    <row r="13" customFormat="false" ht="33.75" hidden="false" customHeight="true" outlineLevel="0" collapsed="false">
      <c r="A13" s="6" t="s">
        <v>348</v>
      </c>
      <c r="B13" s="6" t="s">
        <v>645</v>
      </c>
      <c r="C13" s="6" t="s">
        <v>287</v>
      </c>
      <c r="D13" s="6" t="n">
        <v>2</v>
      </c>
      <c r="E13" s="7" t="s">
        <v>646</v>
      </c>
    </row>
    <row r="14" customFormat="false" ht="33.75" hidden="false" customHeight="true" outlineLevel="0" collapsed="false">
      <c r="A14" s="6" t="s">
        <v>428</v>
      </c>
      <c r="B14" s="6" t="s">
        <v>645</v>
      </c>
      <c r="C14" s="6" t="s">
        <v>273</v>
      </c>
      <c r="D14" s="6" t="n">
        <v>3</v>
      </c>
      <c r="E14" s="7" t="s">
        <v>647</v>
      </c>
    </row>
    <row r="15" customFormat="false" ht="33.75" hidden="false" customHeight="true" outlineLevel="0" collapsed="false">
      <c r="A15" s="6" t="s">
        <v>327</v>
      </c>
      <c r="B15" s="6" t="s">
        <v>645</v>
      </c>
      <c r="C15" s="6" t="s">
        <v>328</v>
      </c>
      <c r="D15" s="6" t="n">
        <v>4</v>
      </c>
      <c r="E15" s="7" t="s">
        <v>648</v>
      </c>
    </row>
    <row r="16" customFormat="false" ht="33.75" hidden="false" customHeight="true" outlineLevel="0" collapsed="false">
      <c r="A16" s="6" t="s">
        <v>272</v>
      </c>
      <c r="B16" s="6" t="s">
        <v>645</v>
      </c>
      <c r="C16" s="6" t="s">
        <v>273</v>
      </c>
      <c r="D16" s="6" t="n">
        <v>4</v>
      </c>
      <c r="E16" s="7" t="s">
        <v>649</v>
      </c>
    </row>
    <row r="17" customFormat="false" ht="33.75" hidden="false" customHeight="true" outlineLevel="0" collapsed="false">
      <c r="A17" s="6" t="s">
        <v>294</v>
      </c>
      <c r="B17" s="6" t="s">
        <v>634</v>
      </c>
      <c r="C17" s="6" t="s">
        <v>273</v>
      </c>
      <c r="D17" s="6" t="n">
        <v>2</v>
      </c>
      <c r="E17" s="7" t="s">
        <v>650</v>
      </c>
    </row>
    <row r="18" customFormat="false" ht="33.75" hidden="false" customHeight="true" outlineLevel="0" collapsed="false">
      <c r="A18" s="6" t="s">
        <v>487</v>
      </c>
      <c r="B18" s="6" t="s">
        <v>631</v>
      </c>
      <c r="C18" s="6" t="s">
        <v>376</v>
      </c>
      <c r="D18" s="6" t="n">
        <v>1</v>
      </c>
      <c r="E18" s="7" t="s">
        <v>651</v>
      </c>
    </row>
    <row r="19" customFormat="false" ht="33.75" hidden="false" customHeight="true" outlineLevel="0" collapsed="false">
      <c r="A19" s="6" t="s">
        <v>401</v>
      </c>
      <c r="B19" s="6" t="s">
        <v>631</v>
      </c>
      <c r="C19" s="6" t="s">
        <v>385</v>
      </c>
      <c r="D19" s="6" t="n">
        <v>2</v>
      </c>
      <c r="E19" s="7" t="s">
        <v>652</v>
      </c>
    </row>
    <row r="20" customFormat="false" ht="33.75" hidden="false" customHeight="true" outlineLevel="0" collapsed="false">
      <c r="A20" s="6" t="s">
        <v>395</v>
      </c>
      <c r="B20" s="6" t="s">
        <v>631</v>
      </c>
      <c r="C20" s="6" t="s">
        <v>376</v>
      </c>
      <c r="D20" s="6" t="n">
        <v>2</v>
      </c>
      <c r="E20" s="7" t="s">
        <v>653</v>
      </c>
    </row>
    <row r="21" customFormat="false" ht="33.75" hidden="false" customHeight="true" outlineLevel="0" collapsed="false">
      <c r="A21" s="6" t="s">
        <v>457</v>
      </c>
      <c r="B21" s="6" t="s">
        <v>654</v>
      </c>
      <c r="C21" s="6" t="s">
        <v>458</v>
      </c>
      <c r="D21" s="6" t="n">
        <v>1</v>
      </c>
      <c r="E21" s="7" t="s">
        <v>655</v>
      </c>
    </row>
    <row r="22" customFormat="false" ht="33.75" hidden="false" customHeight="true" outlineLevel="0" collapsed="false">
      <c r="A22" s="6" t="s">
        <v>304</v>
      </c>
      <c r="B22" s="6" t="s">
        <v>654</v>
      </c>
      <c r="C22" s="6" t="s">
        <v>287</v>
      </c>
      <c r="D22" s="6" t="n">
        <v>3</v>
      </c>
      <c r="E22" s="7" t="s">
        <v>656</v>
      </c>
    </row>
    <row r="23" customFormat="false" ht="33.75" hidden="false" customHeight="true" outlineLevel="0" collapsed="false">
      <c r="A23" s="6" t="s">
        <v>354</v>
      </c>
      <c r="B23" s="6" t="s">
        <v>631</v>
      </c>
      <c r="C23" s="6" t="s">
        <v>328</v>
      </c>
      <c r="D23" s="6" t="n">
        <v>2</v>
      </c>
      <c r="E23" s="7" t="s">
        <v>657</v>
      </c>
    </row>
    <row r="24" customFormat="false" ht="33.75" hidden="false" customHeight="true" outlineLevel="0" collapsed="false">
      <c r="A24" s="6" t="s">
        <v>375</v>
      </c>
      <c r="B24" s="6" t="s">
        <v>631</v>
      </c>
      <c r="C24" s="6" t="s">
        <v>376</v>
      </c>
      <c r="D24" s="6" t="n">
        <v>4</v>
      </c>
      <c r="E24" s="7" t="s">
        <v>658</v>
      </c>
    </row>
    <row r="25" customFormat="false" ht="33.75" hidden="false" customHeight="true" outlineLevel="0" collapsed="false">
      <c r="A25" s="6" t="s">
        <v>502</v>
      </c>
      <c r="B25" s="6" t="s">
        <v>631</v>
      </c>
      <c r="C25" s="6" t="s">
        <v>503</v>
      </c>
      <c r="D25" s="6" t="n">
        <v>1</v>
      </c>
      <c r="E25" s="7" t="s">
        <v>659</v>
      </c>
    </row>
    <row r="26" customFormat="false" ht="33.75" hidden="false" customHeight="true" outlineLevel="0" collapsed="false">
      <c r="A26" s="6" t="s">
        <v>336</v>
      </c>
      <c r="B26" s="6" t="s">
        <v>654</v>
      </c>
      <c r="C26" s="6" t="s">
        <v>328</v>
      </c>
      <c r="D26" s="6" t="n">
        <v>3</v>
      </c>
      <c r="E26" s="7" t="s">
        <v>660</v>
      </c>
    </row>
    <row r="27" customFormat="false" ht="33.75" hidden="false" customHeight="true" outlineLevel="0" collapsed="false">
      <c r="A27" s="6" t="s">
        <v>286</v>
      </c>
      <c r="B27" s="6" t="s">
        <v>661</v>
      </c>
      <c r="C27" s="6" t="s">
        <v>287</v>
      </c>
      <c r="D27" s="6" t="n">
        <v>3</v>
      </c>
      <c r="E27" s="7" t="s">
        <v>662</v>
      </c>
    </row>
  </sheetData>
  <autoFilter ref="A1:E27"/>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45309"/>
    <pageSetUpPr fitToPage="false"/>
  </sheetPr>
  <dimension ref="A1:F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30"/>
    <col collapsed="false" customWidth="true" hidden="false" outlineLevel="0" max="3" min="3" style="0" width="36"/>
    <col collapsed="false" customWidth="true" hidden="false" outlineLevel="0" max="4" min="4" style="0" width="92"/>
    <col collapsed="false" customWidth="true" hidden="false" outlineLevel="0" max="5" min="5" style="0" width="46"/>
    <col collapsed="false" customWidth="true" hidden="false" outlineLevel="0" max="6" min="6" style="0" width="56"/>
  </cols>
  <sheetData>
    <row r="1" customFormat="false" ht="25.5" hidden="false" customHeight="true" outlineLevel="0" collapsed="false">
      <c r="A1" s="5" t="s">
        <v>663</v>
      </c>
      <c r="B1" s="5" t="s">
        <v>664</v>
      </c>
      <c r="C1" s="5" t="s">
        <v>665</v>
      </c>
      <c r="D1" s="5" t="s">
        <v>666</v>
      </c>
      <c r="E1" s="5" t="s">
        <v>667</v>
      </c>
      <c r="F1" s="5" t="s">
        <v>668</v>
      </c>
    </row>
    <row r="2" customFormat="false" ht="73.5" hidden="false" customHeight="true" outlineLevel="0" collapsed="false">
      <c r="A2" s="7" t="s">
        <v>669</v>
      </c>
      <c r="B2" s="7" t="s">
        <v>670</v>
      </c>
      <c r="C2" s="7" t="s">
        <v>671</v>
      </c>
      <c r="D2" s="7" t="s">
        <v>672</v>
      </c>
      <c r="E2" s="7" t="s">
        <v>673</v>
      </c>
      <c r="F2" s="7" t="s">
        <v>674</v>
      </c>
    </row>
    <row r="3" customFormat="false" ht="73.5" hidden="false" customHeight="true" outlineLevel="0" collapsed="false">
      <c r="A3" s="7" t="s">
        <v>675</v>
      </c>
      <c r="B3" s="7" t="s">
        <v>670</v>
      </c>
      <c r="C3" s="7" t="s">
        <v>676</v>
      </c>
      <c r="D3" s="7" t="s">
        <v>677</v>
      </c>
      <c r="E3" s="7" t="s">
        <v>678</v>
      </c>
      <c r="F3" s="7" t="s">
        <v>679</v>
      </c>
    </row>
    <row r="4" customFormat="false" ht="73.5" hidden="false" customHeight="true" outlineLevel="0" collapsed="false">
      <c r="A4" s="7" t="s">
        <v>680</v>
      </c>
      <c r="B4" s="7" t="s">
        <v>681</v>
      </c>
      <c r="C4" s="7" t="s">
        <v>682</v>
      </c>
      <c r="D4" s="7" t="s">
        <v>683</v>
      </c>
      <c r="E4" s="7" t="s">
        <v>684</v>
      </c>
      <c r="F4" s="7" t="s">
        <v>685</v>
      </c>
    </row>
    <row r="5" customFormat="false" ht="73.5" hidden="false" customHeight="true" outlineLevel="0" collapsed="false">
      <c r="A5" s="7" t="s">
        <v>686</v>
      </c>
      <c r="B5" s="7" t="s">
        <v>670</v>
      </c>
      <c r="C5" s="7" t="s">
        <v>687</v>
      </c>
      <c r="D5" s="7" t="s">
        <v>688</v>
      </c>
      <c r="E5" s="7" t="s">
        <v>689</v>
      </c>
      <c r="F5" s="7" t="s">
        <v>690</v>
      </c>
    </row>
    <row r="6" customFormat="false" ht="73.5" hidden="false" customHeight="true" outlineLevel="0" collapsed="false">
      <c r="A6" s="7" t="s">
        <v>691</v>
      </c>
      <c r="B6" s="7" t="s">
        <v>670</v>
      </c>
      <c r="C6" s="7" t="s">
        <v>692</v>
      </c>
      <c r="D6" s="7" t="s">
        <v>693</v>
      </c>
      <c r="E6" s="7" t="s">
        <v>694</v>
      </c>
      <c r="F6" s="7" t="s">
        <v>695</v>
      </c>
    </row>
    <row r="7" customFormat="false" ht="73.5" hidden="false" customHeight="true" outlineLevel="0" collapsed="false">
      <c r="A7" s="7" t="s">
        <v>696</v>
      </c>
      <c r="B7" s="7" t="s">
        <v>670</v>
      </c>
      <c r="C7" s="7" t="s">
        <v>697</v>
      </c>
      <c r="D7" s="7" t="s">
        <v>698</v>
      </c>
      <c r="E7" s="7" t="s">
        <v>699</v>
      </c>
      <c r="F7" s="7" t="s">
        <v>700</v>
      </c>
    </row>
    <row r="8" customFormat="false" ht="73.5" hidden="false" customHeight="true" outlineLevel="0" collapsed="false">
      <c r="A8" s="7" t="s">
        <v>701</v>
      </c>
      <c r="B8" s="7" t="s">
        <v>702</v>
      </c>
      <c r="C8" s="7" t="s">
        <v>703</v>
      </c>
      <c r="D8" s="7" t="s">
        <v>704</v>
      </c>
      <c r="E8" s="7" t="s">
        <v>705</v>
      </c>
      <c r="F8" s="7" t="s">
        <v>706</v>
      </c>
    </row>
    <row r="9" customFormat="false" ht="73.5" hidden="false" customHeight="true" outlineLevel="0" collapsed="false">
      <c r="A9" s="7" t="s">
        <v>707</v>
      </c>
      <c r="B9" s="7" t="s">
        <v>670</v>
      </c>
      <c r="C9" s="7" t="s">
        <v>708</v>
      </c>
      <c r="D9" s="7" t="s">
        <v>709</v>
      </c>
      <c r="E9" s="7" t="s">
        <v>710</v>
      </c>
      <c r="F9" s="7" t="s">
        <v>711</v>
      </c>
    </row>
    <row r="10" customFormat="false" ht="73.5" hidden="false" customHeight="true" outlineLevel="0" collapsed="false">
      <c r="A10" s="7" t="s">
        <v>712</v>
      </c>
      <c r="B10" s="7" t="s">
        <v>670</v>
      </c>
      <c r="C10" s="7" t="s">
        <v>713</v>
      </c>
      <c r="D10" s="7" t="s">
        <v>714</v>
      </c>
      <c r="E10" s="7" t="s">
        <v>715</v>
      </c>
      <c r="F10" s="7" t="s">
        <v>716</v>
      </c>
    </row>
    <row r="11" customFormat="false" ht="73.5" hidden="false" customHeight="true" outlineLevel="0" collapsed="false">
      <c r="A11" s="7" t="s">
        <v>717</v>
      </c>
      <c r="B11" s="7" t="s">
        <v>670</v>
      </c>
      <c r="C11" s="7" t="s">
        <v>718</v>
      </c>
      <c r="D11" s="7" t="s">
        <v>719</v>
      </c>
      <c r="E11" s="7" t="s">
        <v>720</v>
      </c>
      <c r="F11" s="7" t="s">
        <v>721</v>
      </c>
    </row>
  </sheetData>
  <autoFilter ref="A1:F1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45309"/>
    <pageSetUpPr fitToPage="false"/>
  </sheetPr>
  <dimension ref="A1:D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3"/>
    <col collapsed="false" customWidth="true" hidden="false" outlineLevel="0" max="2" min="2" style="0" width="18"/>
    <col collapsed="false" customWidth="true" hidden="false" outlineLevel="0" max="3" min="3" style="0" width="54"/>
    <col collapsed="false" customWidth="true" hidden="false" outlineLevel="0" max="4" min="4" style="0" width="72"/>
  </cols>
  <sheetData>
    <row r="1" customFormat="false" ht="25.5" hidden="false" customHeight="true" outlineLevel="0" collapsed="false">
      <c r="A1" s="5" t="s">
        <v>34</v>
      </c>
      <c r="B1" s="5" t="s">
        <v>722</v>
      </c>
      <c r="C1" s="5" t="s">
        <v>723</v>
      </c>
      <c r="D1" s="5" t="s">
        <v>724</v>
      </c>
    </row>
    <row r="2" customFormat="false" ht="30" hidden="false" customHeight="true" outlineLevel="0" collapsed="false">
      <c r="A2" s="7" t="n">
        <v>10</v>
      </c>
      <c r="B2" s="7" t="s">
        <v>725</v>
      </c>
      <c r="C2" s="7" t="s">
        <v>726</v>
      </c>
      <c r="D2" s="7" t="s">
        <v>727</v>
      </c>
    </row>
    <row r="3" customFormat="false" ht="30" hidden="false" customHeight="true" outlineLevel="0" collapsed="false">
      <c r="A3" s="7" t="n">
        <v>9.5</v>
      </c>
      <c r="B3" s="7" t="s">
        <v>728</v>
      </c>
      <c r="C3" s="7" t="s">
        <v>729</v>
      </c>
      <c r="D3" s="7" t="s">
        <v>730</v>
      </c>
    </row>
    <row r="4" customFormat="false" ht="30" hidden="false" customHeight="true" outlineLevel="0" collapsed="false">
      <c r="A4" s="7" t="n">
        <v>9</v>
      </c>
      <c r="B4" s="7" t="s">
        <v>731</v>
      </c>
      <c r="C4" s="7" t="s">
        <v>732</v>
      </c>
      <c r="D4" s="7" t="s">
        <v>733</v>
      </c>
    </row>
    <row r="5" customFormat="false" ht="30" hidden="false" customHeight="true" outlineLevel="0" collapsed="false">
      <c r="A5" s="7" t="n">
        <v>8.5</v>
      </c>
      <c r="B5" s="7" t="s">
        <v>734</v>
      </c>
      <c r="C5" s="7" t="s">
        <v>735</v>
      </c>
      <c r="D5" s="7" t="s">
        <v>736</v>
      </c>
    </row>
    <row r="6" customFormat="false" ht="30" hidden="false" customHeight="true" outlineLevel="0" collapsed="false">
      <c r="A6" s="7" t="n">
        <v>8</v>
      </c>
      <c r="B6" s="7" t="s">
        <v>737</v>
      </c>
      <c r="C6" s="7" t="s">
        <v>738</v>
      </c>
      <c r="D6" s="7" t="s">
        <v>739</v>
      </c>
    </row>
    <row r="7" customFormat="false" ht="30" hidden="false" customHeight="true" outlineLevel="0" collapsed="false">
      <c r="A7" s="7" t="n">
        <v>7.5</v>
      </c>
      <c r="B7" s="7" t="s">
        <v>740</v>
      </c>
      <c r="C7" s="7" t="s">
        <v>741</v>
      </c>
      <c r="D7" s="7" t="s">
        <v>742</v>
      </c>
    </row>
    <row r="8" customFormat="false" ht="30" hidden="false" customHeight="true" outlineLevel="0" collapsed="false">
      <c r="A8" s="7" t="n">
        <v>7</v>
      </c>
      <c r="B8" s="7" t="s">
        <v>743</v>
      </c>
      <c r="C8" s="7" t="s">
        <v>744</v>
      </c>
      <c r="D8" s="7" t="s">
        <v>745</v>
      </c>
    </row>
    <row r="9" customFormat="false" ht="30" hidden="false" customHeight="true" outlineLevel="0" collapsed="false">
      <c r="A9" s="7" t="n">
        <v>6.5</v>
      </c>
      <c r="B9" s="7" t="s">
        <v>746</v>
      </c>
      <c r="C9" s="7" t="s">
        <v>747</v>
      </c>
      <c r="D9" s="7" t="s">
        <v>748</v>
      </c>
    </row>
    <row r="10" customFormat="false" ht="30" hidden="false" customHeight="true" outlineLevel="0" collapsed="false">
      <c r="A10" s="7" t="n">
        <v>6</v>
      </c>
      <c r="B10" s="7" t="s">
        <v>749</v>
      </c>
      <c r="C10" s="7" t="s">
        <v>750</v>
      </c>
      <c r="D10" s="7" t="s">
        <v>751</v>
      </c>
    </row>
  </sheetData>
  <autoFilter ref="A1:D10"/>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2026-09-11T03:13:28Z</dcterms:created>
  <dc:creator>openpyxl</dc:creator>
  <dc:description/>
  <dc:language>en-US</dc:language>
  <cp:lastModifiedBy/>
  <dcterms:modified xsi:type="dcterms:W3CDTF">2026-09-11T03:13:28Z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